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a2fca826a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s" sheetId="1" r:id="Re529919b85d24270"/>
    <x:sheet xmlns:r="http://schemas.openxmlformats.org/officeDocument/2006/relationships" name="Summary" sheetId="2" r:id="R50d4a5c2ebaf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9"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1F4E78"/>
      </x:font>
      <x:fill>
        <x:patternFill patternType="solid">
          <x:bgColor rgb="FFBDD7E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f2cfb61704d23" /><Relationship Type="http://schemas.openxmlformats.org/officeDocument/2006/relationships/theme" Target="/xl/theme/theme1.xml" Id="R6d25c2f6bbdc433d" /><Relationship Type="http://schemas.openxmlformats.org/officeDocument/2006/relationships/sharedStrings" Target="/xl/sharedStrings.xml" Id="R3d12d229ec234bf6" /><Relationship Type="http://schemas.openxmlformats.org/officeDocument/2006/relationships/worksheet" Target="/xl/worksheets/sheet1.xml" Id="Re529919b85d24270" /><Relationship Type="http://schemas.openxmlformats.org/officeDocument/2006/relationships/worksheet" Target="/xl/worksheets/sheet2.xml" Id="R50d4a5c2ebaf4c85" /></Relationships>
</file>

<file path=xl/tables/table1.xml><?xml version="1.0" encoding="utf-8"?>
<x:table xmlns:x="http://schemas.openxmlformats.org/spreadsheetml/2006/main" id="1" name="ChatbotScenarioTable" displayName="ChatbotScenarioTable" ref="A4:J34" headerRowCount="1">
  <x:tableColumns count="10">
    <x:tableColumn id="1" name="Scenario ID"/>
    <x:tableColumn id="2" name="Requirement ID"/>
    <x:tableColumn id="3" name="Module / Intent"/>
    <x:tableColumn id="4" name="Test Scenario"/>
    <x:tableColumn id="5" name="Test Type"/>
    <x:tableColumn id="6" name="Priority"/>
    <x:tableColumn id="7" name="Preconditions"/>
    <x:tableColumn id="8" name="Expected Outcome"/>
    <x:tableColumn id="9" name="Status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54eb064dcc4c2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2" hidden="0" customWidth="1"/>
    <x:col min="4" max="4" width="42" hidden="0" customWidth="1"/>
    <x:col min="5" max="5" width="20" hidden="0" customWidth="1"/>
    <x:col min="6" max="6" width="12" hidden="0" customWidth="1"/>
    <x:col min="7" max="7" width="32" hidden="0" customWidth="1"/>
    <x:col min="8" max="8" width="42" hidden="0" customWidth="1"/>
    <x:col min="9" max="9" width="15" hidden="0" customWidth="1"/>
    <x:col min="10" max="10" width="24" hidden="0" customWidth="1"/>
  </x:cols>
  <x:sheetData>
    <x:row r="1" ht="32" customHeight="1">
      <x:c r="A1" s="5" t="str">
        <x:v>AI Chatbot Manual Testing - Test Scenarios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3" t="str">
        <x:v>Repository: ai-chatbot-manual-testing | Document version: 1.0 | Testing phase: Manual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9" t="str">
        <x:v>Scenario ID</x:v>
      </x:c>
      <x:c r="B4" s="30" t="str">
        <x:v>Requirement ID</x:v>
      </x:c>
      <x:c r="C4" s="30" t="str">
        <x:v>Module / Intent</x:v>
      </x:c>
      <x:c r="D4" s="30" t="str">
        <x:v>Test Scenario</x:v>
      </x:c>
      <x:c r="E4" s="30" t="str">
        <x:v>Test Type</x:v>
      </x:c>
      <x:c r="F4" s="30" t="str">
        <x:v>Priority</x:v>
      </x:c>
      <x:c r="G4" s="30" t="str">
        <x:v>Preconditions</x:v>
      </x:c>
      <x:c r="H4" s="30" t="str">
        <x:v>Expected Outcome</x:v>
      </x:c>
      <x:c r="I4" s="30" t="str">
        <x:v>Status</x:v>
      </x:c>
      <x:c r="J4" s="31" t="str">
        <x:v>Notes</x:v>
      </x:c>
    </x:row>
    <x:row r="5" ht="48" customHeight="1">
      <x:c r="A5" s="64" t="str">
        <x:v>TS-001</x:v>
      </x:c>
      <x:c r="B5" s="65" t="str">
        <x:v>REQ-001</x:v>
      </x:c>
      <x:c r="C5" s="65" t="str">
        <x:v>Greeting</x:v>
      </x:c>
      <x:c r="D5" s="65" t="str">
        <x:v>Verify the chatbot responds to standard greetings.</x:v>
      </x:c>
      <x:c r="E5" s="65" t="str">
        <x:v>Functional</x:v>
      </x:c>
      <x:c r="F5" s="65" t="str">
        <x:v>Medium</x:v>
      </x:c>
      <x:c r="G5" s="65" t="str">
        <x:v>Chatbot is available.</x:v>
      </x:c>
      <x:c r="H5" s="65" t="str">
        <x:v>A polite greeting and an offer to help are displayed.</x:v>
      </x:c>
      <x:c r="I5" s="65" t="str">
        <x:v>Not Executed</x:v>
      </x:c>
      <x:c r="J5" s="66" t="str"/>
    </x:row>
    <x:row r="6" ht="48" customHeight="1">
      <x:c r="A6" s="67" t="str">
        <x:v>TS-002</x:v>
      </x:c>
      <x:c r="B6" s="68" t="str">
        <x:v>REQ-001</x:v>
      </x:c>
      <x:c r="C6" s="68" t="str">
        <x:v>Greeting</x:v>
      </x:c>
      <x:c r="D6" s="68" t="str">
        <x:v>Verify the chatbot understands informal greetings.</x:v>
      </x:c>
      <x:c r="E6" s="68" t="str">
        <x:v>Intent</x:v>
      </x:c>
      <x:c r="F6" s="68" t="str">
        <x:v>Medium</x:v>
      </x:c>
      <x:c r="G6" s="68" t="str">
        <x:v>Chatbot is available.</x:v>
      </x:c>
      <x:c r="H6" s="68" t="str">
        <x:v>Informal greetings are recognized correctly.</x:v>
      </x:c>
      <x:c r="I6" s="68" t="str">
        <x:v>Not Executed</x:v>
      </x:c>
      <x:c r="J6" s="69" t="str"/>
    </x:row>
    <x:row r="7" ht="48" customHeight="1">
      <x:c r="A7" s="67" t="str">
        <x:v>TS-003</x:v>
      </x:c>
      <x:c r="B7" s="68" t="str">
        <x:v>REQ-001</x:v>
      </x:c>
      <x:c r="C7" s="68" t="str">
        <x:v>Greeting</x:v>
      </x:c>
      <x:c r="D7" s="68" t="str">
        <x:v>Verify greeting responses for different times of day.</x:v>
      </x:c>
      <x:c r="E7" s="68" t="str">
        <x:v>Functional</x:v>
      </x:c>
      <x:c r="F7" s="68" t="str">
        <x:v>Low</x:v>
      </x:c>
      <x:c r="G7" s="68" t="str">
        <x:v>Chatbot is available.</x:v>
      </x:c>
      <x:c r="H7" s="68" t="str">
        <x:v>The response is suitable for morning, afternoon, or evening.</x:v>
      </x:c>
      <x:c r="I7" s="68" t="str">
        <x:v>Not Executed</x:v>
      </x:c>
      <x:c r="J7" s="69" t="str"/>
    </x:row>
    <x:row r="8" ht="48" customHeight="1">
      <x:c r="A8" s="67" t="str">
        <x:v>TS-004</x:v>
      </x:c>
      <x:c r="B8" s="68" t="str">
        <x:v>REQ-002</x:v>
      </x:c>
      <x:c r="C8" s="68" t="str">
        <x:v>Business Hours</x:v>
      </x:c>
      <x:c r="D8" s="68" t="str">
        <x:v>Verify standard business-hours questions.</x:v>
      </x:c>
      <x:c r="E8" s="68" t="str">
        <x:v>Functional</x:v>
      </x:c>
      <x:c r="F8" s="68" t="str">
        <x:v>High</x:v>
      </x:c>
      <x:c r="G8" s="68" t="str">
        <x:v>Approved business hours are configured.</x:v>
      </x:c>
      <x:c r="H8" s="68" t="str">
        <x:v>Correct weekly opening hours are provided.</x:v>
      </x:c>
      <x:c r="I8" s="68" t="str">
        <x:v>Not Executed</x:v>
      </x:c>
      <x:c r="J8" s="69" t="str"/>
    </x:row>
    <x:row r="9" ht="48" customHeight="1">
      <x:c r="A9" s="67" t="str">
        <x:v>TS-005</x:v>
      </x:c>
      <x:c r="B9" s="68" t="str">
        <x:v>REQ-002</x:v>
      </x:c>
      <x:c r="C9" s="68" t="str">
        <x:v>Business Hours</x:v>
      </x:c>
      <x:c r="D9" s="68" t="str">
        <x:v>Verify alternative wording for business-hours questions.</x:v>
      </x:c>
      <x:c r="E9" s="68" t="str">
        <x:v>Intent</x:v>
      </x:c>
      <x:c r="F9" s="68" t="str">
        <x:v>High</x:v>
      </x:c>
      <x:c r="G9" s="68" t="str">
        <x:v>Approved business hours are configured.</x:v>
      </x:c>
      <x:c r="H9" s="68" t="str">
        <x:v>Different phrasings map to the Business Hours intent.</x:v>
      </x:c>
      <x:c r="I9" s="68" t="str">
        <x:v>Not Executed</x:v>
      </x:c>
      <x:c r="J9" s="69" t="str"/>
    </x:row>
    <x:row r="10" ht="48" customHeight="1">
      <x:c r="A10" s="67" t="str">
        <x:v>TS-006</x:v>
      </x:c>
      <x:c r="B10" s="68" t="str">
        <x:v>REQ-002</x:v>
      </x:c>
      <x:c r="C10" s="68" t="str">
        <x:v>Business Hours</x:v>
      </x:c>
      <x:c r="D10" s="68" t="str">
        <x:v>Verify day-specific opening-hour questions.</x:v>
      </x:c>
      <x:c r="E10" s="68" t="str">
        <x:v>Functional</x:v>
      </x:c>
      <x:c r="F10" s="68" t="str">
        <x:v>High</x:v>
      </x:c>
      <x:c r="G10" s="68" t="str">
        <x:v>Approved business hours are configured.</x:v>
      </x:c>
      <x:c r="H10" s="68" t="str">
        <x:v>Correct hours are returned for the requested day.</x:v>
      </x:c>
      <x:c r="I10" s="68" t="str">
        <x:v>Not Executed</x:v>
      </x:c>
      <x:c r="J10" s="69" t="str"/>
    </x:row>
    <x:row r="11" ht="48" customHeight="1">
      <x:c r="A11" s="67" t="str">
        <x:v>TS-007</x:v>
      </x:c>
      <x:c r="B11" s="68" t="str">
        <x:v>REQ-002</x:v>
      </x:c>
      <x:c r="C11" s="68" t="str">
        <x:v>Business Hours</x:v>
      </x:c>
      <x:c r="D11" s="68" t="str">
        <x:v>Verify weekend and closed-day responses.</x:v>
      </x:c>
      <x:c r="E11" s="68" t="str">
        <x:v>Functional</x:v>
      </x:c>
      <x:c r="F11" s="68" t="str">
        <x:v>High</x:v>
      </x:c>
      <x:c r="G11" s="68" t="str">
        <x:v>Approved business hours are configured.</x:v>
      </x:c>
      <x:c r="H11" s="68" t="str">
        <x:v>Saturday and Sunday information is correct.</x:v>
      </x:c>
      <x:c r="I11" s="68" t="str">
        <x:v>Not Executed</x:v>
      </x:c>
      <x:c r="J11" s="69" t="str"/>
    </x:row>
    <x:row r="12" ht="48" customHeight="1">
      <x:c r="A12" s="67" t="str">
        <x:v>TS-008</x:v>
      </x:c>
      <x:c r="B12" s="68" t="str">
        <x:v>REQ-003</x:v>
      </x:c>
      <x:c r="C12" s="68" t="str">
        <x:v>Password Reset</x:v>
      </x:c>
      <x:c r="D12" s="68" t="str">
        <x:v>Verify the standard password-reset flow.</x:v>
      </x:c>
      <x:c r="E12" s="68" t="str">
        <x:v>Functional</x:v>
      </x:c>
      <x:c r="F12" s="68" t="str">
        <x:v>Critical</x:v>
      </x:c>
      <x:c r="G12" s="68" t="str">
        <x:v>Login and reset process are defined.</x:v>
      </x:c>
      <x:c r="H12" s="68" t="str">
        <x:v>Secure and accurate password-reset guidance is provided.</x:v>
      </x:c>
      <x:c r="I12" s="68" t="str">
        <x:v>Not Executed</x:v>
      </x:c>
      <x:c r="J12" s="69" t="str"/>
    </x:row>
    <x:row r="13" ht="48" customHeight="1">
      <x:c r="A13" s="67" t="str">
        <x:v>TS-009</x:v>
      </x:c>
      <x:c r="B13" s="68" t="str">
        <x:v>REQ-003</x:v>
      </x:c>
      <x:c r="C13" s="68" t="str">
        <x:v>Password Reset</x:v>
      </x:c>
      <x:c r="D13" s="68" t="str">
        <x:v>Verify alternative password and login problem wording.</x:v>
      </x:c>
      <x:c r="E13" s="68" t="str">
        <x:v>Intent</x:v>
      </x:c>
      <x:c r="F13" s="68" t="str">
        <x:v>High</x:v>
      </x:c>
      <x:c r="G13" s="68" t="str">
        <x:v>Login and reset process are defined.</x:v>
      </x:c>
      <x:c r="H13" s="68" t="str">
        <x:v>The chatbot recognizes account-access intent.</x:v>
      </x:c>
      <x:c r="I13" s="68" t="str">
        <x:v>Not Executed</x:v>
      </x:c>
      <x:c r="J13" s="69" t="str"/>
    </x:row>
    <x:row r="14" ht="48" customHeight="1">
      <x:c r="A14" s="67" t="str">
        <x:v>TS-010</x:v>
      </x:c>
      <x:c r="B14" s="68" t="str">
        <x:v>REQ-003, REQ-014</x:v>
      </x:c>
      <x:c r="C14" s="68" t="str">
        <x:v>Password Reset</x:v>
      </x:c>
      <x:c r="D14" s="68" t="str">
        <x:v>Verify that the chatbot never requests a password.</x:v>
      </x:c>
      <x:c r="E14" s="68" t="str">
        <x:v>Security</x:v>
      </x:c>
      <x:c r="F14" s="68" t="str">
        <x:v>Critical</x:v>
      </x:c>
      <x:c r="G14" s="68" t="str">
        <x:v>Chatbot is available.</x:v>
      </x:c>
      <x:c r="H14" s="68" t="str">
        <x:v>The chatbot directs users to a secure reset flow without asking for credentials.</x:v>
      </x:c>
      <x:c r="I14" s="68" t="str">
        <x:v>Not Executed</x:v>
      </x:c>
      <x:c r="J14" s="69" t="str"/>
    </x:row>
    <x:row r="15" ht="48" customHeight="1">
      <x:c r="A15" s="67" t="str">
        <x:v>TS-011</x:v>
      </x:c>
      <x:c r="B15" s="68" t="str">
        <x:v>REQ-004</x:v>
      </x:c>
      <x:c r="C15" s="68" t="str">
        <x:v>Contact Support</x:v>
      </x:c>
      <x:c r="D15" s="68" t="str">
        <x:v>Verify support email, phone number, and support hours.</x:v>
      </x:c>
      <x:c r="E15" s="68" t="str">
        <x:v>Functional</x:v>
      </x:c>
      <x:c r="F15" s="68" t="str">
        <x:v>High</x:v>
      </x:c>
      <x:c r="G15" s="68" t="str">
        <x:v>Approved support details are configured.</x:v>
      </x:c>
      <x:c r="H15" s="68" t="str">
        <x:v>Correct support contact details are displayed.</x:v>
      </x:c>
      <x:c r="I15" s="68" t="str">
        <x:v>Not Executed</x:v>
      </x:c>
      <x:c r="J15" s="69" t="str"/>
    </x:row>
    <x:row r="16" ht="48" customHeight="1">
      <x:c r="A16" s="67" t="str">
        <x:v>TS-012</x:v>
      </x:c>
      <x:c r="B16" s="68" t="str">
        <x:v>REQ-004</x:v>
      </x:c>
      <x:c r="C16" s="68" t="str">
        <x:v>Contact Support</x:v>
      </x:c>
      <x:c r="D16" s="68" t="str">
        <x:v>Verify requests to speak with a human agent.</x:v>
      </x:c>
      <x:c r="E16" s="68" t="str">
        <x:v>Intent</x:v>
      </x:c>
      <x:c r="F16" s="68" t="str">
        <x:v>Medium</x:v>
      </x:c>
      <x:c r="G16" s="68" t="str">
        <x:v>Approved support details are configured.</x:v>
      </x:c>
      <x:c r="H16" s="68" t="str">
        <x:v>The chatbot provides the available human-support path.</x:v>
      </x:c>
      <x:c r="I16" s="68" t="str">
        <x:v>Not Executed</x:v>
      </x:c>
      <x:c r="J16" s="69" t="str"/>
    </x:row>
    <x:row r="17" ht="48" customHeight="1">
      <x:c r="A17" s="67" t="str">
        <x:v>TS-013</x:v>
      </x:c>
      <x:c r="B17" s="68" t="str">
        <x:v>REQ-005</x:v>
      </x:c>
      <x:c r="C17" s="68" t="str">
        <x:v>Fallback</x:v>
      </x:c>
      <x:c r="D17" s="68" t="str">
        <x:v>Verify handling of unsupported questions.</x:v>
      </x:c>
      <x:c r="E17" s="68" t="str">
        <x:v>Negative</x:v>
      </x:c>
      <x:c r="F17" s="68" t="str">
        <x:v>Medium</x:v>
      </x:c>
      <x:c r="G17" s="68" t="str">
        <x:v>Chatbot is available.</x:v>
      </x:c>
      <x:c r="H17" s="68" t="str">
        <x:v>A helpful fallback response is displayed without misleading information.</x:v>
      </x:c>
      <x:c r="I17" s="68" t="str">
        <x:v>Not Executed</x:v>
      </x:c>
      <x:c r="J17" s="69" t="str"/>
    </x:row>
    <x:row r="18" ht="48" customHeight="1">
      <x:c r="A18" s="67" t="str">
        <x:v>TS-014</x:v>
      </x:c>
      <x:c r="B18" s="68" t="str">
        <x:v>REQ-005</x:v>
      </x:c>
      <x:c r="C18" s="68" t="str">
        <x:v>Fallback</x:v>
      </x:c>
      <x:c r="D18" s="68" t="str">
        <x:v>Verify handling of ambiguous questions.</x:v>
      </x:c>
      <x:c r="E18" s="68" t="str">
        <x:v>Negative</x:v>
      </x:c>
      <x:c r="F18" s="68" t="str">
        <x:v>Medium</x:v>
      </x:c>
      <x:c r="G18" s="68" t="str">
        <x:v>Chatbot is available.</x:v>
      </x:c>
      <x:c r="H18" s="68" t="str">
        <x:v>The chatbot asks the user to clarify or rephrase.</x:v>
      </x:c>
      <x:c r="I18" s="68" t="str">
        <x:v>Not Executed</x:v>
      </x:c>
      <x:c r="J18" s="69" t="str"/>
    </x:row>
    <x:row r="19" ht="48" customHeight="1">
      <x:c r="A19" s="67" t="str">
        <x:v>TS-015</x:v>
      </x:c>
      <x:c r="B19" s="68" t="str">
        <x:v>REQ-006</x:v>
      </x:c>
      <x:c r="C19" s="68" t="str">
        <x:v>Input Validation</x:v>
      </x:c>
      <x:c r="D19" s="68" t="str">
        <x:v>Verify empty-message handling.</x:v>
      </x:c>
      <x:c r="E19" s="68" t="str">
        <x:v>Negative</x:v>
      </x:c>
      <x:c r="F19" s="68" t="str">
        <x:v>High</x:v>
      </x:c>
      <x:c r="G19" s="68" t="str">
        <x:v>Chat interface is available.</x:v>
      </x:c>
      <x:c r="H19" s="68" t="str">
        <x:v>Empty submission is prevented or a clear validation message is shown.</x:v>
      </x:c>
      <x:c r="I19" s="68" t="str">
        <x:v>Not Executed</x:v>
      </x:c>
      <x:c r="J19" s="69" t="str"/>
    </x:row>
    <x:row r="20" ht="48" customHeight="1">
      <x:c r="A20" s="67" t="str">
        <x:v>TS-016</x:v>
      </x:c>
      <x:c r="B20" s="68" t="str">
        <x:v>REQ-007</x:v>
      </x:c>
      <x:c r="C20" s="68" t="str">
        <x:v>Input Validation</x:v>
      </x:c>
      <x:c r="D20" s="68" t="str">
        <x:v>Verify special-character-only input.</x:v>
      </x:c>
      <x:c r="E20" s="68" t="str">
        <x:v>Edge Case</x:v>
      </x:c>
      <x:c r="F20" s="68" t="str">
        <x:v>Medium</x:v>
      </x:c>
      <x:c r="G20" s="68" t="str">
        <x:v>Chatbot is available.</x:v>
      </x:c>
      <x:c r="H20" s="68" t="str">
        <x:v>The chatbot does not crash and requests clarification.</x:v>
      </x:c>
      <x:c r="I20" s="68" t="str">
        <x:v>Not Executed</x:v>
      </x:c>
      <x:c r="J20" s="69" t="str"/>
    </x:row>
    <x:row r="21" ht="48" customHeight="1">
      <x:c r="A21" s="67" t="str">
        <x:v>TS-017</x:v>
      </x:c>
      <x:c r="B21" s="68" t="str">
        <x:v>REQ-007</x:v>
      </x:c>
      <x:c r="C21" s="68" t="str">
        <x:v>Input Validation</x:v>
      </x:c>
      <x:c r="D21" s="68" t="str">
        <x:v>Verify numeric-only input.</x:v>
      </x:c>
      <x:c r="E21" s="68" t="str">
        <x:v>Edge Case</x:v>
      </x:c>
      <x:c r="F21" s="68" t="str">
        <x:v>Low</x:v>
      </x:c>
      <x:c r="G21" s="68" t="str">
        <x:v>Chatbot is available.</x:v>
      </x:c>
      <x:c r="H21" s="68" t="str">
        <x:v>The chatbot handles the input safely without a technical error.</x:v>
      </x:c>
      <x:c r="I21" s="68" t="str">
        <x:v>Not Executed</x:v>
      </x:c>
      <x:c r="J21" s="69" t="str"/>
    </x:row>
    <x:row r="22" ht="48" customHeight="1">
      <x:c r="A22" s="67" t="str">
        <x:v>TS-018</x:v>
      </x:c>
      <x:c r="B22" s="68" t="str">
        <x:v>REQ-008</x:v>
      </x:c>
      <x:c r="C22" s="68" t="str">
        <x:v>Language Understanding</x:v>
      </x:c>
      <x:c r="D22" s="68" t="str">
        <x:v>Verify simple spelling mistakes.</x:v>
      </x:c>
      <x:c r="E22" s="68" t="str">
        <x:v>Intent</x:v>
      </x:c>
      <x:c r="F22" s="68" t="str">
        <x:v>High</x:v>
      </x:c>
      <x:c r="G22" s="68" t="str">
        <x:v>Chatbot is available.</x:v>
      </x:c>
      <x:c r="H22" s="68" t="str">
        <x:v>Understandable spelling errors map to the correct intent.</x:v>
      </x:c>
      <x:c r="I22" s="68" t="str">
        <x:v>Not Executed</x:v>
      </x:c>
      <x:c r="J22" s="69" t="str"/>
    </x:row>
    <x:row r="23" ht="48" customHeight="1">
      <x:c r="A23" s="67" t="str">
        <x:v>TS-019</x:v>
      </x:c>
      <x:c r="B23" s="68" t="str">
        <x:v>REQ-009</x:v>
      </x:c>
      <x:c r="C23" s="68" t="str">
        <x:v>Language Understanding</x:v>
      </x:c>
      <x:c r="D23" s="68" t="str">
        <x:v>Verify uppercase, lowercase, and mixed-case input.</x:v>
      </x:c>
      <x:c r="E23" s="68" t="str">
        <x:v>Edge Case</x:v>
      </x:c>
      <x:c r="F23" s="68" t="str">
        <x:v>Medium</x:v>
      </x:c>
      <x:c r="G23" s="68" t="str">
        <x:v>Chatbot is available.</x:v>
      </x:c>
      <x:c r="H23" s="68" t="str">
        <x:v>Intent detection is not affected by letter case.</x:v>
      </x:c>
      <x:c r="I23" s="68" t="str">
        <x:v>Not Executed</x:v>
      </x:c>
      <x:c r="J23" s="69" t="str"/>
    </x:row>
    <x:row r="24" ht="48" customHeight="1">
      <x:c r="A24" s="67" t="str">
        <x:v>TS-020</x:v>
      </x:c>
      <x:c r="B24" s="68" t="str">
        <x:v>REQ-010</x:v>
      </x:c>
      <x:c r="C24" s="68" t="str">
        <x:v>Input Validation</x:v>
      </x:c>
      <x:c r="D24" s="68" t="str">
        <x:v>Verify long-message handling.</x:v>
      </x:c>
      <x:c r="E24" s="68" t="str">
        <x:v>Edge Case</x:v>
      </x:c>
      <x:c r="F24" s="68" t="str">
        <x:v>Medium</x:v>
      </x:c>
      <x:c r="G24" s="68" t="str">
        <x:v>Chatbot is available.</x:v>
      </x:c>
      <x:c r="H24" s="68" t="str">
        <x:v>The main question is identified without crashing or freezing.</x:v>
      </x:c>
      <x:c r="I24" s="68" t="str">
        <x:v>Not Executed</x:v>
      </x:c>
      <x:c r="J24" s="69" t="str"/>
    </x:row>
    <x:row r="25" ht="48" customHeight="1">
      <x:c r="A25" s="67" t="str">
        <x:v>TS-021</x:v>
      </x:c>
      <x:c r="B25" s="68" t="str">
        <x:v>REQ-011, REQ-016</x:v>
      </x:c>
      <x:c r="C25" s="68" t="str">
        <x:v>Consistency</x:v>
      </x:c>
      <x:c r="D25" s="68" t="str">
        <x:v>Verify repeated questions receive consistent information.</x:v>
      </x:c>
      <x:c r="E25" s="68" t="str">
        <x:v>Reliability</x:v>
      </x:c>
      <x:c r="F25" s="68" t="str">
        <x:v>High</x:v>
      </x:c>
      <x:c r="G25" s="68" t="str">
        <x:v>Chatbot is available.</x:v>
      </x:c>
      <x:c r="H25" s="68" t="str">
        <x:v>Repeated responses remain factually consistent.</x:v>
      </x:c>
      <x:c r="I25" s="68" t="str">
        <x:v>Not Executed</x:v>
      </x:c>
      <x:c r="J25" s="69" t="str"/>
    </x:row>
    <x:row r="26" ht="48" customHeight="1">
      <x:c r="A26" s="67" t="str">
        <x:v>TS-022</x:v>
      </x:c>
      <x:c r="B26" s="68" t="str">
        <x:v>REQ-012</x:v>
      </x:c>
      <x:c r="C26" s="68" t="str">
        <x:v>Conversation Context</x:v>
      </x:c>
      <x:c r="D26" s="68" t="str">
        <x:v>Verify follow-up questions about business hours.</x:v>
      </x:c>
      <x:c r="E26" s="68" t="str">
        <x:v>Conversation Flow</x:v>
      </x:c>
      <x:c r="F26" s="68" t="str">
        <x:v>High</x:v>
      </x:c>
      <x:c r="G26" s="68" t="str">
        <x:v>Conversation session is active.</x:v>
      </x:c>
      <x:c r="H26" s="68" t="str">
        <x:v>The chatbot connects the follow-up question to the previous topic.</x:v>
      </x:c>
      <x:c r="I26" s="68" t="str">
        <x:v>Not Executed</x:v>
      </x:c>
      <x:c r="J26" s="69" t="str"/>
    </x:row>
    <x:row r="27" ht="48" customHeight="1">
      <x:c r="A27" s="67" t="str">
        <x:v>TS-023</x:v>
      </x:c>
      <x:c r="B27" s="68" t="str">
        <x:v>REQ-012</x:v>
      </x:c>
      <x:c r="C27" s="68" t="str">
        <x:v>Conversation Context</x:v>
      </x:c>
      <x:c r="D27" s="68" t="str">
        <x:v>Verify follow-up responses in the password-reset flow.</x:v>
      </x:c>
      <x:c r="E27" s="68" t="str">
        <x:v>Conversation Flow</x:v>
      </x:c>
      <x:c r="F27" s="68" t="str">
        <x:v>High</x:v>
      </x:c>
      <x:c r="G27" s="68" t="str">
        <x:v>Conversation session is active.</x:v>
      </x:c>
      <x:c r="H27" s="68" t="str">
        <x:v>The chatbot continues the correct password-reset conversation.</x:v>
      </x:c>
      <x:c r="I27" s="68" t="str">
        <x:v>Not Executed</x:v>
      </x:c>
      <x:c r="J27" s="69" t="str"/>
    </x:row>
    <x:row r="28" ht="48" customHeight="1">
      <x:c r="A28" s="67" t="str">
        <x:v>TS-024</x:v>
      </x:c>
      <x:c r="B28" s="68" t="str">
        <x:v>REQ-012</x:v>
      </x:c>
      <x:c r="C28" s="68" t="str">
        <x:v>Conversation Context</x:v>
      </x:c>
      <x:c r="D28" s="68" t="str">
        <x:v>Verify context changes when the user changes the topic.</x:v>
      </x:c>
      <x:c r="E28" s="68" t="str">
        <x:v>Conversation Flow</x:v>
      </x:c>
      <x:c r="F28" s="68" t="str">
        <x:v>Medium</x:v>
      </x:c>
      <x:c r="G28" s="68" t="str">
        <x:v>Conversation session is active.</x:v>
      </x:c>
      <x:c r="H28" s="68" t="str">
        <x:v>The chatbot answers the new topic without mixing prior context.</x:v>
      </x:c>
      <x:c r="I28" s="68" t="str">
        <x:v>Not Executed</x:v>
      </x:c>
      <x:c r="J28" s="69" t="str"/>
    </x:row>
    <x:row r="29" ht="48" customHeight="1">
      <x:c r="A29" s="67" t="str">
        <x:v>TS-025</x:v>
      </x:c>
      <x:c r="B29" s="68" t="str">
        <x:v>REQ-013</x:v>
      </x:c>
      <x:c r="C29" s="68" t="str">
        <x:v>Privacy Protection</x:v>
      </x:c>
      <x:c r="D29" s="68" t="str">
        <x:v>Verify requests for another customer's information are refused.</x:v>
      </x:c>
      <x:c r="E29" s="68" t="str">
        <x:v>Privacy</x:v>
      </x:c>
      <x:c r="F29" s="68" t="str">
        <x:v>Critical</x:v>
      </x:c>
      <x:c r="G29" s="68" t="str">
        <x:v>Chatbot is available.</x:v>
      </x:c>
      <x:c r="H29" s="68" t="str">
        <x:v>No personal or confidential data is revealed.</x:v>
      </x:c>
      <x:c r="I29" s="68" t="str">
        <x:v>Not Executed</x:v>
      </x:c>
      <x:c r="J29" s="69" t="str"/>
    </x:row>
    <x:row r="30" ht="48" customHeight="1">
      <x:c r="A30" s="67" t="str">
        <x:v>TS-026</x:v>
      </x:c>
      <x:c r="B30" s="68" t="str">
        <x:v>REQ-013, REQ-014</x:v>
      </x:c>
      <x:c r="C30" s="68" t="str">
        <x:v>Privacy Protection</x:v>
      </x:c>
      <x:c r="D30" s="68" t="str">
        <x:v>Verify requests for passwords or registered email lists are refused.</x:v>
      </x:c>
      <x:c r="E30" s="68" t="str">
        <x:v>Security</x:v>
      </x:c>
      <x:c r="F30" s="68" t="str">
        <x:v>Critical</x:v>
      </x:c>
      <x:c r="G30" s="68" t="str">
        <x:v>Chatbot is available.</x:v>
      </x:c>
      <x:c r="H30" s="68" t="str">
        <x:v>The request is refused and no sensitive data is exposed.</x:v>
      </x:c>
      <x:c r="I30" s="68" t="str">
        <x:v>Not Executed</x:v>
      </x:c>
      <x:c r="J30" s="69" t="str"/>
    </x:row>
    <x:row r="31" ht="48" customHeight="1">
      <x:c r="A31" s="67" t="str">
        <x:v>TS-027</x:v>
      </x:c>
      <x:c r="B31" s="68" t="str">
        <x:v>REQ-015</x:v>
      </x:c>
      <x:c r="C31" s="68" t="str">
        <x:v>Response Quality</x:v>
      </x:c>
      <x:c r="D31" s="68" t="str">
        <x:v>Verify answers are relevant and factually correct.</x:v>
      </x:c>
      <x:c r="E31" s="68" t="str">
        <x:v>Functional</x:v>
      </x:c>
      <x:c r="F31" s="68" t="str">
        <x:v>Critical</x:v>
      </x:c>
      <x:c r="G31" s="68" t="str">
        <x:v>Approved knowledge is available.</x:v>
      </x:c>
      <x:c r="H31" s="68" t="str">
        <x:v>Responses match the requested topic and approved information.</x:v>
      </x:c>
      <x:c r="I31" s="68" t="str">
        <x:v>Not Executed</x:v>
      </x:c>
      <x:c r="J31" s="69" t="str"/>
    </x:row>
    <x:row r="32" ht="48" customHeight="1">
      <x:c r="A32" s="67" t="str">
        <x:v>TS-028</x:v>
      </x:c>
      <x:c r="B32" s="68" t="str">
        <x:v>NFR-001</x:v>
      </x:c>
      <x:c r="C32" s="68" t="str">
        <x:v>Performance</x:v>
      </x:c>
      <x:c r="D32" s="68" t="str">
        <x:v>Verify response time for supported questions.</x:v>
      </x:c>
      <x:c r="E32" s="68" t="str">
        <x:v>Performance</x:v>
      </x:c>
      <x:c r="F32" s="68" t="str">
        <x:v>High</x:v>
      </x:c>
      <x:c r="G32" s="68" t="str">
        <x:v>Stable test environment and timer are available.</x:v>
      </x:c>
      <x:c r="H32" s="68" t="str">
        <x:v>At least 95 percent of normal responses are returned within 3 seconds.</x:v>
      </x:c>
      <x:c r="I32" s="68" t="str">
        <x:v>Not Executed</x:v>
      </x:c>
      <x:c r="J32" s="69" t="str"/>
    </x:row>
    <x:row r="33" ht="48" customHeight="1">
      <x:c r="A33" s="67" t="str">
        <x:v>TS-029</x:v>
      </x:c>
      <x:c r="B33" s="68" t="str">
        <x:v>NFR-003, NFR-004</x:v>
      </x:c>
      <x:c r="C33" s="68" t="str">
        <x:v>Usability</x:v>
      </x:c>
      <x:c r="D33" s="68" t="str">
        <x:v>Verify chat controls and user-friendly error messages.</x:v>
      </x:c>
      <x:c r="E33" s="68" t="str">
        <x:v>Usability</x:v>
      </x:c>
      <x:c r="F33" s="68" t="str">
        <x:v>Medium</x:v>
      </x:c>
      <x:c r="G33" s="68" t="str">
        <x:v>Chat interface is available.</x:v>
      </x:c>
      <x:c r="H33" s="68" t="str">
        <x:v>Input, send action, messages, and errors are clear and usable.</x:v>
      </x:c>
      <x:c r="I33" s="68" t="str">
        <x:v>Not Executed</x:v>
      </x:c>
      <x:c r="J33" s="69" t="str"/>
    </x:row>
    <x:row r="34" ht="48" customHeight="1">
      <x:c r="A34" s="70" t="str">
        <x:v>TS-030</x:v>
      </x:c>
      <x:c r="B34" s="71" t="str">
        <x:v>NFR-005, NFR-006</x:v>
      </x:c>
      <x:c r="C34" s="71" t="str">
        <x:v>Compatibility and Reliability</x:v>
      </x:c>
      <x:c r="D34" s="71" t="str">
        <x:v>Verify chatbot operation in Chrome and Edge.</x:v>
      </x:c>
      <x:c r="E34" s="71" t="str">
        <x:v>Compatibility</x:v>
      </x:c>
      <x:c r="F34" s="71" t="str">
        <x:v>High</x:v>
      </x:c>
      <x:c r="G34" s="71" t="str">
        <x:v>Supported browsers are installed.</x:v>
      </x:c>
      <x:c r="H34" s="71" t="str">
        <x:v>Core flows work without browser-specific failures.</x:v>
      </x:c>
      <x:c r="I34" s="71" t="str">
        <x:v>Not Executed</x:v>
      </x:c>
      <x:c r="J34" s="72" t="str"/>
    </x:row>
  </x:sheetData>
  <x:mergeCells>
    <x:mergeCell ref="A1:J1"/>
    <x:mergeCell ref="A2:J2"/>
  </x:mergeCells>
  <x:conditionalFormatting sqref="F5:F34">
    <x:cfRule type="expression" dxfId="0" priority="1">
      <x:formula>A1="Critical"</x:formula>
    </x:cfRule>
    <x:cfRule type="expression" dxfId="1" priority="2">
      <x:formula>A1="High"</x:formula>
    </x:cfRule>
    <x:cfRule type="expression" dxfId="2" priority="3">
      <x:formula>A1="Medium"</x:formula>
    </x:cfRule>
    <x:cfRule type="expression" dxfId="3" priority="4">
      <x:formula>A1="Low"</x:formula>
    </x:cfRule>
  </x:conditionalFormatting>
  <x:conditionalFormatting sqref="I5:I34">
    <x:cfRule type="expression" dxfId="4" priority="5">
      <x:formula>A1="Pass"</x:formula>
    </x:cfRule>
    <x:cfRule type="expression" dxfId="5" priority="6">
      <x:formula>A1="Fail"</x:formula>
    </x:cfRule>
    <x:cfRule type="expression" dxfId="6" priority="7">
      <x:formula>A1="Blocked"</x:formula>
    </x:cfRule>
    <x:cfRule type="expression" dxfId="7" priority="8">
      <x:formula>A1="In Progress"</x:formula>
    </x:cfRule>
    <x:cfRule type="expression" dxfId="8" priority="9">
      <x:formula>A1="Not Executed"</x:formula>
    </x:cfRule>
  </x:conditionalFormatting>
  <x:dataValidations count="3">
    <x:dataValidation type="list" sqref="E5:E34">
      <x:formula1>"Functional,Intent,Conversation Flow,Negative,Edge Case,Security,Privacy,Usability,Performance,Compatibility,Reliability"</x:formula1>
    </x:dataValidation>
    <x:dataValidation type="list" sqref="F5:F34">
      <x:formula1>"Critical,High,Medium,Low"</x:formula1>
    </x:dataValidation>
    <x:dataValidation type="list" sqref="I5:I34">
      <x:formula1>"Not Executed,In Progress,Pass,Fail,Blocked"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54eb064dcc4c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22" hidden="0" customWidth="1"/>
    <x:col min="5" max="5" width="16" hidden="0" customWidth="1"/>
  </x:cols>
  <x:sheetData>
    <x:row r="1" ht="32" customHeight="1">
      <x:c r="A1" s="5" t="str">
        <x:v>Test Scenario Summary</x:v>
      </x:c>
      <x:c r="B1" s="5"/>
      <x:c r="C1" s="5"/>
      <x:c r="D1" s="5"/>
      <x:c r="E1" s="5"/>
      <x:c r="F1" s="5"/>
    </x:row>
    <x:row r="3" ht="34" customHeight="1">
      <x:c r="A3" s="29" t="str">
        <x:v>Metric</x:v>
      </x:c>
      <x:c r="B3" s="31" t="str">
        <x:v>Value</x:v>
      </x:c>
      <x:c r="D3" s="29" t="str">
        <x:v>Execution Status</x:v>
      </x:c>
      <x:c r="E3" s="31" t="str">
        <x:v>Count</x:v>
      </x:c>
    </x:row>
    <x:row r="4">
      <x:c r="A4" s="64" t="str">
        <x:v>Total Scenarios</x:v>
      </x:c>
      <x:c r="B4" s="66" t="n">
        <x:f>COUNTA('Test Scenarios'!A5:A200)</x:f>
        <x:v>30</x:v>
      </x:c>
      <x:c r="D4" s="64" t="str">
        <x:v>Not Executed</x:v>
      </x:c>
      <x:c r="E4" s="66" t="n">
        <x:f>COUNTIF('Test Scenarios'!I5:I200,"Not Executed")</x:f>
        <x:v>30</x:v>
      </x:c>
    </x:row>
    <x:row r="5">
      <x:c r="A5" s="67" t="str">
        <x:v>Critical Priority</x:v>
      </x:c>
      <x:c r="B5" s="69" t="n">
        <x:f>COUNTIF('Test Scenarios'!F5:F200,"Critical")</x:f>
        <x:v>5</x:v>
      </x:c>
      <x:c r="D5" s="67" t="str">
        <x:v>In Progress</x:v>
      </x:c>
      <x:c r="E5" s="69" t="n">
        <x:f>COUNTIF('Test Scenarios'!I5:I200,"In Progress")</x:f>
        <x:v>0</x:v>
      </x:c>
    </x:row>
    <x:row r="6">
      <x:c r="A6" s="67" t="str">
        <x:v>High Priority</x:v>
      </x:c>
      <x:c r="B6" s="69" t="n">
        <x:f>COUNTIF('Test Scenarios'!F5:F200,"High")</x:f>
        <x:v>13</x:v>
      </x:c>
      <x:c r="D6" s="67" t="str">
        <x:v>Pass</x:v>
      </x:c>
      <x:c r="E6" s="69" t="n">
        <x:f>COUNTIF('Test Scenarios'!I5:I200,"Pass")</x:f>
        <x:v>0</x:v>
      </x:c>
    </x:row>
    <x:row r="7">
      <x:c r="A7" s="67" t="str">
        <x:v>Medium Priority</x:v>
      </x:c>
      <x:c r="B7" s="69" t="n">
        <x:f>COUNTIF('Test Scenarios'!F5:F200,"Medium")</x:f>
        <x:v>10</x:v>
      </x:c>
      <x:c r="D7" s="67" t="str">
        <x:v>Fail</x:v>
      </x:c>
      <x:c r="E7" s="69" t="n">
        <x:f>COUNTIF('Test Scenarios'!I5:I200,"Fail")</x:f>
        <x:v>0</x:v>
      </x:c>
    </x:row>
    <x:row r="8">
      <x:c r="A8" s="70" t="str">
        <x:v>Low Priority</x:v>
      </x:c>
      <x:c r="B8" s="72" t="n">
        <x:f>COUNTIF('Test Scenarios'!F5:F200,"Low")</x:f>
        <x:v>2</x:v>
      </x:c>
      <x:c r="D8" s="67" t="str">
        <x:v>Blocked</x:v>
      </x:c>
      <x:c r="E8" s="69" t="n">
        <x:f>COUNTIF('Test Scenarios'!I5:I200,"Blocked")</x:f>
        <x:v>0</x:v>
      </x:c>
    </x:row>
    <x:row r="9">
      <x:c r="D9" s="70" t="str">
        <x:v>Completion %</x:v>
      </x:c>
      <x:c r="E9" s="100" t="n">
        <x:f>IF(B4=0,0,(E5+E6+E7+E8)/B4)</x:f>
        <x:v>0</x:v>
      </x:c>
    </x:row>
    <x:row r="11">
      <x:c r="A11" s="106" t="str">
        <x:v>Usage: Update the Status column during execution. The Summary sheet calculates progress automatically.</x:v>
      </x:c>
      <x:c r="B11" s="106"/>
      <x:c r="C11" s="106"/>
      <x:c r="D11" s="106"/>
      <x:c r="E11" s="106"/>
      <x:c r="F11" s="106"/>
    </x:row>
    <x:row r="12">
      <x:c r="A12" s="106"/>
      <x:c r="B12" s="106"/>
      <x:c r="C12" s="106"/>
      <x:c r="D12" s="106"/>
      <x:c r="E12" s="106"/>
      <x:c r="F12" s="106"/>
    </x:row>
    <x:row r="13">
      <x:c r="A13" s="106"/>
      <x:c r="B13" s="106"/>
      <x:c r="C13" s="106"/>
      <x:c r="D13" s="106"/>
      <x:c r="E13" s="106"/>
      <x:c r="F13" s="106"/>
    </x:row>
  </x:sheetData>
  <x:mergeCells>
    <x:mergeCell ref="A1:F1"/>
    <x:mergeCell ref="A11:F13"/>
  </x:mergeCells>
  <x:pageMargins left="0.7" right="0.7" top="0.75" bottom="0.75" header="0.3" footer="0.3"/>
</x:worksheet>
</file>