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1f3493ebf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 Cases" sheetId="1" r:id="R74e3a66eebb54137"/>
    <x:sheet xmlns:r="http://schemas.openxmlformats.org/officeDocument/2006/relationships" name="Summary" sheetId="2" r:id="R7b77efc31a994a58"/>
    <x:sheet xmlns:r="http://schemas.openxmlformats.org/officeDocument/2006/relationships" name="Approved Test Data" sheetId="3" r:id="Rf3588f346ab6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1F4E78"/>
      </x:font>
      <x:fill>
        <x:patternFill patternType="solid">
          <x:bgColor rgb="FFBDD7E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a8ef46f2740d9" /><Relationship Type="http://schemas.openxmlformats.org/officeDocument/2006/relationships/theme" Target="/xl/theme/theme1.xml" Id="R58ca1e38573a43c0" /><Relationship Type="http://schemas.openxmlformats.org/officeDocument/2006/relationships/sharedStrings" Target="/xl/sharedStrings.xml" Id="R742af1ac3fa34769" /><Relationship Type="http://schemas.openxmlformats.org/officeDocument/2006/relationships/worksheet" Target="/xl/worksheets/sheet1.xml" Id="R74e3a66eebb54137" /><Relationship Type="http://schemas.openxmlformats.org/officeDocument/2006/relationships/worksheet" Target="/xl/worksheets/sheet2.xml" Id="R7b77efc31a994a58" /><Relationship Type="http://schemas.openxmlformats.org/officeDocument/2006/relationships/worksheet" Target="/xl/worksheets/sheet3.xml" Id="Rf3588f346ab640fb" /></Relationships>
</file>

<file path=xl/tables/table1.xml><?xml version="1.0" encoding="utf-8"?>
<x:table xmlns:x="http://schemas.openxmlformats.org/spreadsheetml/2006/main" id="1" name="ChatbotManualTestCasesTable" displayName="ChatbotManualTestCasesTable" ref="A4:P60" headerRowCount="1">
  <x:tableColumns count="16">
    <x:tableColumn id="1" name="Test Case ID"/>
    <x:tableColumn id="2" name="Scenario ID"/>
    <x:tableColumn id="3" name="Requirement ID"/>
    <x:tableColumn id="4" name="Module / Intent"/>
    <x:tableColumn id="5" name="Test Case Title"/>
    <x:tableColumn id="6" name="Preconditions"/>
    <x:tableColumn id="7" name="Test Steps"/>
    <x:tableColumn id="8" name="Test Data"/>
    <x:tableColumn id="9" name="Expected Result"/>
    <x:tableColumn id="10" name="Actual Result"/>
    <x:tableColumn id="11" name="Status"/>
    <x:tableColumn id="12" name="Severity if Failed"/>
    <x:tableColumn id="13" name="Priority"/>
    <x:tableColumn id="14" name="Environment"/>
    <x:tableColumn id="15" name="Evidence / Defect ID"/>
    <x:tableColumn id="16" name="Comments"/>
  </x:tableColumns>
  <x:tableStyleInfo name="TableStyleMedium2" showRowStripes="1"/>
</x:table>
</file>

<file path=xl/tables/table2.xml><?xml version="1.0" encoding="utf-8"?>
<x:table xmlns:x="http://schemas.openxmlformats.org/spreadsheetml/2006/main" id="2" name="ApprovedChatbotDataTable" displayName="ApprovedChatbotDataTable" ref="A3:D13" headerRowCount="1">
  <x:tableColumns count="4">
    <x:tableColumn id="1" name="Data ID"/>
    <x:tableColumn id="2" name="Category"/>
    <x:tableColumn id="3" name="Approved Value"/>
    <x:tableColumn id="4" name="Testing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9d954296034b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f930a21b084fe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0" hidden="0" customWidth="1"/>
    <x:col min="5" max="5" width="36" hidden="0" customWidth="1"/>
    <x:col min="6" max="6" width="30" hidden="0" customWidth="1"/>
    <x:col min="7" max="7" width="42" hidden="0" customWidth="1"/>
    <x:col min="8" max="8" width="34" hidden="0" customWidth="1"/>
    <x:col min="9" max="9" width="42" hidden="0" customWidth="1"/>
    <x:col min="10" max="10" width="36" hidden="0" customWidth="1"/>
    <x:col min="11" max="11" width="15" hidden="0" customWidth="1"/>
    <x:col min="12" max="12" width="17" hidden="0" customWidth="1"/>
    <x:col min="13" max="13" width="12" hidden="0" customWidth="1"/>
    <x:col min="14" max="14" width="24" hidden="0" customWidth="1"/>
    <x:col min="15" max="15" width="22" hidden="0" customWidth="1"/>
    <x:col min="16" max="16" width="28" hidden="0" customWidth="1"/>
  </x:cols>
  <x:sheetData>
    <x:row r="1" ht="32" customHeight="1">
      <x:c r="A1" s="5" t="str">
        <x:v>AI Chatbot Manual Testing - Detailed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4" customHeight="1">
      <x:c r="A2" s="13" t="str">
        <x:v>Execute each case manually, record the actual result, update status, and link defect evidence when applicable.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29" t="str">
        <x:v>Test Case ID</x:v>
      </x:c>
      <x:c r="B4" s="30" t="str">
        <x:v>Scenario ID</x:v>
      </x:c>
      <x:c r="C4" s="30" t="str">
        <x:v>Requirement ID</x:v>
      </x:c>
      <x:c r="D4" s="30" t="str">
        <x:v>Module / Intent</x:v>
      </x:c>
      <x:c r="E4" s="30" t="str">
        <x:v>Test Case Title</x:v>
      </x:c>
      <x:c r="F4" s="30" t="str">
        <x:v>Preconditions</x:v>
      </x:c>
      <x:c r="G4" s="30" t="str">
        <x:v>Test Steps</x:v>
      </x:c>
      <x:c r="H4" s="30" t="str">
        <x:v>Test Data</x:v>
      </x:c>
      <x:c r="I4" s="30" t="str">
        <x:v>Expected Result</x:v>
      </x:c>
      <x:c r="J4" s="30" t="str">
        <x:v>Actual Result</x:v>
      </x:c>
      <x:c r="K4" s="30" t="str">
        <x:v>Status</x:v>
      </x:c>
      <x:c r="L4" s="30" t="str">
        <x:v>Severity if Failed</x:v>
      </x:c>
      <x:c r="M4" s="30" t="str">
        <x:v>Priority</x:v>
      </x:c>
      <x:c r="N4" s="30" t="str">
        <x:v>Environment</x:v>
      </x:c>
      <x:c r="O4" s="30" t="str">
        <x:v>Evidence / Defect ID</x:v>
      </x:c>
      <x:c r="P4" s="31" t="str">
        <x:v>Comments</x:v>
      </x:c>
    </x:row>
    <x:row r="5" ht="72" customHeight="1">
      <x:c r="A5" s="64" t="str">
        <x:v>TC-001</x:v>
      </x:c>
      <x:c r="B5" s="65" t="str">
        <x:v>TS-001</x:v>
      </x:c>
      <x:c r="C5" s="65" t="str">
        <x:v>REQ-001</x:v>
      </x:c>
      <x:c r="D5" s="65" t="str">
        <x:v>Greeting</x:v>
      </x:c>
      <x:c r="E5" s="65" t="str">
        <x:v>Verify response to 'Hello'</x:v>
      </x:c>
      <x:c r="F5" s="65" t="str">
        <x:v>Chatbot is available.</x:v>
      </x:c>
      <x:c r="G5" s="65" t="str">
        <x:v>1. Open the chatbot.
2. Enter 'Hello'.
3. Click Send.
4. Review the response.</x:v>
      </x:c>
      <x:c r="H5" s="65" t="str">
        <x:v>Hello</x:v>
      </x:c>
      <x:c r="I5" s="65" t="str">
        <x:v>The chatbot greets the user and asks how it can help.</x:v>
      </x:c>
      <x:c r="J5" s="65" t="str"/>
      <x:c r="K5" s="65" t="str">
        <x:v>Not Executed</x:v>
      </x:c>
      <x:c r="L5" s="65" t="str">
        <x:v>N/A</x:v>
      </x:c>
      <x:c r="M5" s="65" t="str">
        <x:v>Medium</x:v>
      </x:c>
      <x:c r="N5" s="65" t="str">
        <x:v>QA - Chrome - Windows</x:v>
      </x:c>
      <x:c r="O5" s="65" t="str"/>
      <x:c r="P5" s="66" t="str"/>
    </x:row>
    <x:row r="6" ht="72" customHeight="1">
      <x:c r="A6" s="67" t="str">
        <x:v>TC-002</x:v>
      </x:c>
      <x:c r="B6" s="68" t="str">
        <x:v>TS-001</x:v>
      </x:c>
      <x:c r="C6" s="68" t="str">
        <x:v>REQ-001</x:v>
      </x:c>
      <x:c r="D6" s="68" t="str">
        <x:v>Greeting</x:v>
      </x:c>
      <x:c r="E6" s="68" t="str">
        <x:v>Verify response to 'Hi'</x:v>
      </x:c>
      <x:c r="F6" s="68" t="str">
        <x:v>Chatbot is available.</x:v>
      </x:c>
      <x:c r="G6" s="68" t="str">
        <x:v>1. Open the chatbot.
2. Enter 'Hi'.
3. Click Send.</x:v>
      </x:c>
      <x:c r="H6" s="68" t="str">
        <x:v>Hi</x:v>
      </x:c>
      <x:c r="I6" s="68" t="str">
        <x:v>A polite and relevant greeting is displayed.</x:v>
      </x:c>
      <x:c r="J6" s="68" t="str"/>
      <x:c r="K6" s="68" t="str">
        <x:v>Not Executed</x:v>
      </x:c>
      <x:c r="L6" s="68" t="str">
        <x:v>N/A</x:v>
      </x:c>
      <x:c r="M6" s="68" t="str">
        <x:v>Medium</x:v>
      </x:c>
      <x:c r="N6" s="68" t="str">
        <x:v>QA - Chrome - Windows</x:v>
      </x:c>
      <x:c r="O6" s="68" t="str"/>
      <x:c r="P6" s="69" t="str"/>
    </x:row>
    <x:row r="7" ht="72" customHeight="1">
      <x:c r="A7" s="67" t="str">
        <x:v>TC-003</x:v>
      </x:c>
      <x:c r="B7" s="68" t="str">
        <x:v>TS-002</x:v>
      </x:c>
      <x:c r="C7" s="68" t="str">
        <x:v>REQ-001</x:v>
      </x:c>
      <x:c r="D7" s="68" t="str">
        <x:v>Greeting</x:v>
      </x:c>
      <x:c r="E7" s="68" t="str">
        <x:v>Verify response to informal greeting</x:v>
      </x:c>
      <x:c r="F7" s="68" t="str">
        <x:v>Chatbot is available.</x:v>
      </x:c>
      <x:c r="G7" s="68" t="str">
        <x:v>1. Open the chatbot.
2. Enter an informal greeting.
3. Submit the message.</x:v>
      </x:c>
      <x:c r="H7" s="68" t="str">
        <x:v>Hey there!</x:v>
      </x:c>
      <x:c r="I7" s="68" t="str">
        <x:v>The chatbot recognizes the message as a greeting.</x:v>
      </x:c>
      <x:c r="J7" s="68" t="str"/>
      <x:c r="K7" s="68" t="str">
        <x:v>Not Executed</x:v>
      </x:c>
      <x:c r="L7" s="68" t="str">
        <x:v>N/A</x:v>
      </x:c>
      <x:c r="M7" s="68" t="str">
        <x:v>Medium</x:v>
      </x:c>
      <x:c r="N7" s="68" t="str">
        <x:v>QA - Chrome - Windows</x:v>
      </x:c>
      <x:c r="O7" s="68" t="str"/>
      <x:c r="P7" s="69" t="str"/>
    </x:row>
    <x:row r="8" ht="72" customHeight="1">
      <x:c r="A8" s="67" t="str">
        <x:v>TC-004</x:v>
      </x:c>
      <x:c r="B8" s="68" t="str">
        <x:v>TS-003</x:v>
      </x:c>
      <x:c r="C8" s="68" t="str">
        <x:v>REQ-001</x:v>
      </x:c>
      <x:c r="D8" s="68" t="str">
        <x:v>Greeting</x:v>
      </x:c>
      <x:c r="E8" s="68" t="str">
        <x:v>Verify morning greeting</x:v>
      </x:c>
      <x:c r="F8" s="68" t="str">
        <x:v>Chatbot is available.</x:v>
      </x:c>
      <x:c r="G8" s="68" t="str">
        <x:v>1. Open the chatbot.
2. Enter 'Good morning'.
3. Submit the message.</x:v>
      </x:c>
      <x:c r="H8" s="68" t="str">
        <x:v>Good morning</x:v>
      </x:c>
      <x:c r="I8" s="68" t="str">
        <x:v>The response is appropriate and polite.</x:v>
      </x:c>
      <x:c r="J8" s="68" t="str"/>
      <x:c r="K8" s="68" t="str">
        <x:v>Not Executed</x:v>
      </x:c>
      <x:c r="L8" s="68" t="str">
        <x:v>N/A</x:v>
      </x:c>
      <x:c r="M8" s="68" t="str">
        <x:v>Low</x:v>
      </x:c>
      <x:c r="N8" s="68" t="str">
        <x:v>QA - Chrome - Windows</x:v>
      </x:c>
      <x:c r="O8" s="68" t="str"/>
      <x:c r="P8" s="69" t="str"/>
    </x:row>
    <x:row r="9" ht="72" customHeight="1">
      <x:c r="A9" s="67" t="str">
        <x:v>TC-005</x:v>
      </x:c>
      <x:c r="B9" s="68" t="str">
        <x:v>TS-004</x:v>
      </x:c>
      <x:c r="C9" s="68" t="str">
        <x:v>REQ-002</x:v>
      </x:c>
      <x:c r="D9" s="68" t="str">
        <x:v>Business Hours</x:v>
      </x:c>
      <x:c r="E9" s="68" t="str">
        <x:v>Verify full weekly opening hours</x:v>
      </x:c>
      <x:c r="F9" s="68" t="str">
        <x:v>Approved hours are configured.</x:v>
      </x:c>
      <x:c r="G9" s="68" t="str">
        <x:v>1. Open the chatbot.
2. Ask for opening hours.
3. Review all days and times.</x:v>
      </x:c>
      <x:c r="H9" s="68" t="str">
        <x:v>What are your opening hours?</x:v>
      </x:c>
      <x:c r="I9" s="68" t="str">
        <x:v>Monday to Friday: 9:00 AM to 5:00 PM; Saturday: 9:00 AM to 1:00 PM; Sunday: Closed.</x:v>
      </x:c>
      <x:c r="J9" s="68" t="str"/>
      <x:c r="K9" s="68" t="str">
        <x:v>Not Executed</x:v>
      </x:c>
      <x:c r="L9" s="68" t="str">
        <x:v>N/A</x:v>
      </x:c>
      <x:c r="M9" s="68" t="str">
        <x:v>High</x:v>
      </x:c>
      <x:c r="N9" s="68" t="str">
        <x:v>QA - Chrome - Windows</x:v>
      </x:c>
      <x:c r="O9" s="68" t="str"/>
      <x:c r="P9" s="69" t="str"/>
    </x:row>
    <x:row r="10" ht="72" customHeight="1">
      <x:c r="A10" s="67" t="str">
        <x:v>TC-006</x:v>
      </x:c>
      <x:c r="B10" s="68" t="str">
        <x:v>TS-005</x:v>
      </x:c>
      <x:c r="C10" s="68" t="str">
        <x:v>REQ-002</x:v>
      </x:c>
      <x:c r="D10" s="68" t="str">
        <x:v>Business Hours</x:v>
      </x:c>
      <x:c r="E10" s="68" t="str">
        <x:v>Verify alternative wording 'When are you open?'</x:v>
      </x:c>
      <x:c r="F10" s="68" t="str">
        <x:v>Approved hours are configured.</x:v>
      </x:c>
      <x:c r="G10" s="68" t="str">
        <x:v>1. Open the chatbot.
2. Enter the alternative wording.
3. Submit the message.</x:v>
      </x:c>
      <x:c r="H10" s="68" t="str">
        <x:v>When are you open?</x:v>
      </x:c>
      <x:c r="I10" s="68" t="str">
        <x:v>The chatbot returns the approved business hours.</x:v>
      </x:c>
      <x:c r="J10" s="68" t="str"/>
      <x:c r="K10" s="68" t="str">
        <x:v>Not Executed</x:v>
      </x:c>
      <x:c r="L10" s="68" t="str">
        <x:v>N/A</x:v>
      </x:c>
      <x:c r="M10" s="68" t="str">
        <x:v>High</x:v>
      </x:c>
      <x:c r="N10" s="68" t="str">
        <x:v>QA - Chrome - Windows</x:v>
      </x:c>
      <x:c r="O10" s="68" t="str"/>
      <x:c r="P10" s="69" t="str"/>
    </x:row>
    <x:row r="11" ht="72" customHeight="1">
      <x:c r="A11" s="67" t="str">
        <x:v>TC-007</x:v>
      </x:c>
      <x:c r="B11" s="68" t="str">
        <x:v>TS-005</x:v>
      </x:c>
      <x:c r="C11" s="68" t="str">
        <x:v>REQ-002</x:v>
      </x:c>
      <x:c r="D11" s="68" t="str">
        <x:v>Business Hours</x:v>
      </x:c>
      <x:c r="E11" s="68" t="str">
        <x:v>Verify closing-time question</x:v>
      </x:c>
      <x:c r="F11" s="68" t="str">
        <x:v>Approved hours are configured.</x:v>
      </x:c>
      <x:c r="G11" s="68" t="str">
        <x:v>1. Open the chatbot.
2. Ask what time the business closes.
3. Review the answer.</x:v>
      </x:c>
      <x:c r="H11" s="68" t="str">
        <x:v>What time do you close?</x:v>
      </x:c>
      <x:c r="I11" s="68" t="str">
        <x:v>The chatbot provides the relevant closing time or asks for the day.</x:v>
      </x:c>
      <x:c r="J11" s="68" t="str"/>
      <x:c r="K11" s="68" t="str">
        <x:v>Not Executed</x:v>
      </x:c>
      <x:c r="L11" s="68" t="str">
        <x:v>N/A</x:v>
      </x:c>
      <x:c r="M11" s="68" t="str">
        <x:v>High</x:v>
      </x:c>
      <x:c r="N11" s="68" t="str">
        <x:v>QA - Chrome - Windows</x:v>
      </x:c>
      <x:c r="O11" s="68" t="str"/>
      <x:c r="P11" s="69" t="str"/>
    </x:row>
    <x:row r="12" ht="72" customHeight="1">
      <x:c r="A12" s="67" t="str">
        <x:v>TC-008</x:v>
      </x:c>
      <x:c r="B12" s="68" t="str">
        <x:v>TS-006</x:v>
      </x:c>
      <x:c r="C12" s="68" t="str">
        <x:v>REQ-002</x:v>
      </x:c>
      <x:c r="D12" s="68" t="str">
        <x:v>Business Hours</x:v>
      </x:c>
      <x:c r="E12" s="68" t="str">
        <x:v>Verify Monday opening hours</x:v>
      </x:c>
      <x:c r="F12" s="68" t="str">
        <x:v>Approved hours are configured.</x:v>
      </x:c>
      <x:c r="G12" s="68" t="str">
        <x:v>1. Open the chatbot.
2. Ask about Monday.
3. Submit.</x:v>
      </x:c>
      <x:c r="H12" s="68" t="str">
        <x:v>Are you open on Monday?</x:v>
      </x:c>
      <x:c r="I12" s="68" t="str">
        <x:v>The chatbot states Monday hours as 9:00 AM to 5:00 PM.</x:v>
      </x:c>
      <x:c r="J12" s="68" t="str"/>
      <x:c r="K12" s="68" t="str">
        <x:v>Not Executed</x:v>
      </x:c>
      <x:c r="L12" s="68" t="str">
        <x:v>N/A</x:v>
      </x:c>
      <x:c r="M12" s="68" t="str">
        <x:v>High</x:v>
      </x:c>
      <x:c r="N12" s="68" t="str">
        <x:v>QA - Chrome - Windows</x:v>
      </x:c>
      <x:c r="O12" s="68" t="str"/>
      <x:c r="P12" s="69" t="str"/>
    </x:row>
    <x:row r="13" ht="72" customHeight="1">
      <x:c r="A13" s="67" t="str">
        <x:v>TC-009</x:v>
      </x:c>
      <x:c r="B13" s="68" t="str">
        <x:v>TS-006</x:v>
      </x:c>
      <x:c r="C13" s="68" t="str">
        <x:v>REQ-002</x:v>
      </x:c>
      <x:c r="D13" s="68" t="str">
        <x:v>Business Hours</x:v>
      </x:c>
      <x:c r="E13" s="68" t="str">
        <x:v>Verify Saturday opening hours</x:v>
      </x:c>
      <x:c r="F13" s="68" t="str">
        <x:v>Approved hours are configured.</x:v>
      </x:c>
      <x:c r="G13" s="68" t="str">
        <x:v>1. Open the chatbot.
2. Ask about Saturday.
3. Submit.</x:v>
      </x:c>
      <x:c r="H13" s="68" t="str">
        <x:v>Are you open on Saturday?</x:v>
      </x:c>
      <x:c r="I13" s="68" t="str">
        <x:v>The chatbot states Saturday hours as 9:00 AM to 1:00 PM.</x:v>
      </x:c>
      <x:c r="J13" s="68" t="str"/>
      <x:c r="K13" s="68" t="str">
        <x:v>Not Executed</x:v>
      </x:c>
      <x:c r="L13" s="68" t="str">
        <x:v>N/A</x:v>
      </x:c>
      <x:c r="M13" s="68" t="str">
        <x:v>High</x:v>
      </x:c>
      <x:c r="N13" s="68" t="str">
        <x:v>QA - Chrome - Windows</x:v>
      </x:c>
      <x:c r="O13" s="68" t="str"/>
      <x:c r="P13" s="69" t="str"/>
    </x:row>
    <x:row r="14" ht="72" customHeight="1">
      <x:c r="A14" s="67" t="str">
        <x:v>TC-010</x:v>
      </x:c>
      <x:c r="B14" s="68" t="str">
        <x:v>TS-007</x:v>
      </x:c>
      <x:c r="C14" s="68" t="str">
        <x:v>REQ-002</x:v>
      </x:c>
      <x:c r="D14" s="68" t="str">
        <x:v>Business Hours</x:v>
      </x:c>
      <x:c r="E14" s="68" t="str">
        <x:v>Verify Sunday closed response</x:v>
      </x:c>
      <x:c r="F14" s="68" t="str">
        <x:v>Approved hours are configured.</x:v>
      </x:c>
      <x:c r="G14" s="68" t="str">
        <x:v>1. Open the chatbot.
2. Ask about Sunday.
3. Submit.</x:v>
      </x:c>
      <x:c r="H14" s="68" t="str">
        <x:v>Can I visit on Sunday?</x:v>
      </x:c>
      <x:c r="I14" s="68" t="str">
        <x:v>The chatbot clearly states that the business is closed on Sunday.</x:v>
      </x:c>
      <x:c r="J14" s="68" t="str"/>
      <x:c r="K14" s="68" t="str">
        <x:v>Not Executed</x:v>
      </x:c>
      <x:c r="L14" s="68" t="str">
        <x:v>N/A</x:v>
      </x:c>
      <x:c r="M14" s="68" t="str">
        <x:v>High</x:v>
      </x:c>
      <x:c r="N14" s="68" t="str">
        <x:v>QA - Chrome - Windows</x:v>
      </x:c>
      <x:c r="O14" s="68" t="str"/>
      <x:c r="P14" s="69" t="str"/>
    </x:row>
    <x:row r="15" ht="72" customHeight="1">
      <x:c r="A15" s="67" t="str">
        <x:v>TC-011</x:v>
      </x:c>
      <x:c r="B15" s="68" t="str">
        <x:v>TS-006</x:v>
      </x:c>
      <x:c r="C15" s="68" t="str">
        <x:v>REQ-002</x:v>
      </x:c>
      <x:c r="D15" s="68" t="str">
        <x:v>Business Hours</x:v>
      </x:c>
      <x:c r="E15" s="68" t="str">
        <x:v>Verify day-specific closing time</x:v>
      </x:c>
      <x:c r="F15" s="68" t="str">
        <x:v>Approved hours are configured.</x:v>
      </x:c>
      <x:c r="G15" s="68" t="str">
        <x:v>1. Open the chatbot.
2. Ask for Friday closing time.
3. Submit.</x:v>
      </x:c>
      <x:c r="H15" s="68" t="str">
        <x:v>What time do you close on Friday?</x:v>
      </x:c>
      <x:c r="I15" s="68" t="str">
        <x:v>The chatbot states 5:00 PM.</x:v>
      </x:c>
      <x:c r="J15" s="68" t="str"/>
      <x:c r="K15" s="68" t="str">
        <x:v>Not Executed</x:v>
      </x:c>
      <x:c r="L15" s="68" t="str">
        <x:v>N/A</x:v>
      </x:c>
      <x:c r="M15" s="68" t="str">
        <x:v>High</x:v>
      </x:c>
      <x:c r="N15" s="68" t="str">
        <x:v>QA - Chrome - Windows</x:v>
      </x:c>
      <x:c r="O15" s="68" t="str"/>
      <x:c r="P15" s="69" t="str"/>
    </x:row>
    <x:row r="16" ht="72" customHeight="1">
      <x:c r="A16" s="67" t="str">
        <x:v>TC-012</x:v>
      </x:c>
      <x:c r="B16" s="68" t="str">
        <x:v>TS-005</x:v>
      </x:c>
      <x:c r="C16" s="68" t="str">
        <x:v>REQ-002</x:v>
      </x:c>
      <x:c r="D16" s="68" t="str">
        <x:v>Business Hours</x:v>
      </x:c>
      <x:c r="E16" s="68" t="str">
        <x:v>Verify abbreviated hours question</x:v>
      </x:c>
      <x:c r="F16" s="68" t="str">
        <x:v>Approved hours are configured.</x:v>
      </x:c>
      <x:c r="G16" s="68" t="str">
        <x:v>1. Open the chatbot.
2. Enter an abbreviated question.
3. Submit.</x:v>
      </x:c>
      <x:c r="H16" s="68" t="str">
        <x:v>Opening hrs?</x:v>
      </x:c>
      <x:c r="I16" s="68" t="str">
        <x:v>The chatbot recognizes the Business Hours intent and provides correct information.</x:v>
      </x:c>
      <x:c r="J16" s="68" t="str"/>
      <x:c r="K16" s="68" t="str">
        <x:v>Not Executed</x:v>
      </x:c>
      <x:c r="L16" s="68" t="str">
        <x:v>N/A</x:v>
      </x:c>
      <x:c r="M16" s="68" t="str">
        <x:v>Medium</x:v>
      </x:c>
      <x:c r="N16" s="68" t="str">
        <x:v>QA - Chrome - Windows</x:v>
      </x:c>
      <x:c r="O16" s="68" t="str"/>
      <x:c r="P16" s="69" t="str"/>
    </x:row>
    <x:row r="17" ht="72" customHeight="1">
      <x:c r="A17" s="67" t="str">
        <x:v>TC-013</x:v>
      </x:c>
      <x:c r="B17" s="68" t="str">
        <x:v>TS-008</x:v>
      </x:c>
      <x:c r="C17" s="68" t="str">
        <x:v>REQ-003</x:v>
      </x:c>
      <x:c r="D17" s="68" t="str">
        <x:v>Password Reset</x:v>
      </x:c>
      <x:c r="E17" s="68" t="str">
        <x:v>Verify standard forgotten-password request</x:v>
      </x:c>
      <x:c r="F17" s="68" t="str">
        <x:v>Reset flow is configured.</x:v>
      </x:c>
      <x:c r="G17" s="68" t="str">
        <x:v>1. Open the chatbot.
2. Enter the request.
3. Submit.
4. Review all instructions.</x:v>
      </x:c>
      <x:c r="H17" s="68" t="str">
        <x:v>I forgot my password.</x:v>
      </x:c>
      <x:c r="I17" s="68" t="str">
        <x:v>The chatbot instructs the user to select Forgot Password and use the registered email.</x:v>
      </x:c>
      <x:c r="J17" s="68" t="str"/>
      <x:c r="K17" s="68" t="str">
        <x:v>Not Executed</x:v>
      </x:c>
      <x:c r="L17" s="68" t="str">
        <x:v>N/A</x:v>
      </x:c>
      <x:c r="M17" s="68" t="str">
        <x:v>Critical</x:v>
      </x:c>
      <x:c r="N17" s="68" t="str">
        <x:v>QA - Chrome - Windows</x:v>
      </x:c>
      <x:c r="O17" s="68" t="str"/>
      <x:c r="P17" s="69" t="str"/>
    </x:row>
    <x:row r="18" ht="72" customHeight="1">
      <x:c r="A18" s="67" t="str">
        <x:v>TC-014</x:v>
      </x:c>
      <x:c r="B18" s="68" t="str">
        <x:v>TS-008</x:v>
      </x:c>
      <x:c r="C18" s="68" t="str">
        <x:v>REQ-003</x:v>
      </x:c>
      <x:c r="D18" s="68" t="str">
        <x:v>Password Reset</x:v>
      </x:c>
      <x:c r="E18" s="68" t="str">
        <x:v>Verify direct password-reset question</x:v>
      </x:c>
      <x:c r="F18" s="68" t="str">
        <x:v>Reset flow is configured.</x:v>
      </x:c>
      <x:c r="G18" s="68" t="str">
        <x:v>1. Open the chatbot.
2. Ask how to reset the password.
3. Submit.</x:v>
      </x:c>
      <x:c r="H18" s="68" t="str">
        <x:v>How do I reset my password?</x:v>
      </x:c>
      <x:c r="I18" s="68" t="str">
        <x:v>Secure and accurate reset steps are displayed.</x:v>
      </x:c>
      <x:c r="J18" s="68" t="str"/>
      <x:c r="K18" s="68" t="str">
        <x:v>Not Executed</x:v>
      </x:c>
      <x:c r="L18" s="68" t="str">
        <x:v>N/A</x:v>
      </x:c>
      <x:c r="M18" s="68" t="str">
        <x:v>Critical</x:v>
      </x:c>
      <x:c r="N18" s="68" t="str">
        <x:v>QA - Chrome - Windows</x:v>
      </x:c>
      <x:c r="O18" s="68" t="str"/>
      <x:c r="P18" s="69" t="str"/>
    </x:row>
    <x:row r="19" ht="72" customHeight="1">
      <x:c r="A19" s="67" t="str">
        <x:v>TC-015</x:v>
      </x:c>
      <x:c r="B19" s="68" t="str">
        <x:v>TS-009</x:v>
      </x:c>
      <x:c r="C19" s="68" t="str">
        <x:v>REQ-003</x:v>
      </x:c>
      <x:c r="D19" s="68" t="str">
        <x:v>Password Reset</x:v>
      </x:c>
      <x:c r="E19" s="68" t="str">
        <x:v>Verify login-access wording</x:v>
      </x:c>
      <x:c r="F19" s="68" t="str">
        <x:v>Reset flow is configured.</x:v>
      </x:c>
      <x:c r="G19" s="68" t="str">
        <x:v>1. Open the chatbot.
2. Enter the login problem.
3. Submit.</x:v>
      </x:c>
      <x:c r="H19" s="68" t="str">
        <x:v>I cannot log in.</x:v>
      </x:c>
      <x:c r="I19" s="68" t="str">
        <x:v>The chatbot recognizes an account-access issue and offers suitable reset guidance.</x:v>
      </x:c>
      <x:c r="J19" s="68" t="str"/>
      <x:c r="K19" s="68" t="str">
        <x:v>Not Executed</x:v>
      </x:c>
      <x:c r="L19" s="68" t="str">
        <x:v>N/A</x:v>
      </x:c>
      <x:c r="M19" s="68" t="str">
        <x:v>High</x:v>
      </x:c>
      <x:c r="N19" s="68" t="str">
        <x:v>QA - Chrome - Windows</x:v>
      </x:c>
      <x:c r="O19" s="68" t="str"/>
      <x:c r="P19" s="69" t="str"/>
    </x:row>
    <x:row r="20" ht="72" customHeight="1">
      <x:c r="A20" s="67" t="str">
        <x:v>TC-016</x:v>
      </x:c>
      <x:c r="B20" s="68" t="str">
        <x:v>TS-009</x:v>
      </x:c>
      <x:c r="C20" s="68" t="str">
        <x:v>REQ-003</x:v>
      </x:c>
      <x:c r="D20" s="68" t="str">
        <x:v>Password Reset</x:v>
      </x:c>
      <x:c r="E20" s="68" t="str">
        <x:v>Verify password-not-working wording</x:v>
      </x:c>
      <x:c r="F20" s="68" t="str">
        <x:v>Reset flow is configured.</x:v>
      </x:c>
      <x:c r="G20" s="68" t="str">
        <x:v>1. Open the chatbot.
2. Enter the problem statement.
3. Submit.</x:v>
      </x:c>
      <x:c r="H20" s="68" t="str">
        <x:v>My password is not working.</x:v>
      </x:c>
      <x:c r="I20" s="68" t="str">
        <x:v>The chatbot provides relevant account-access guidance.</x:v>
      </x:c>
      <x:c r="J20" s="68" t="str"/>
      <x:c r="K20" s="68" t="str">
        <x:v>Not Executed</x:v>
      </x:c>
      <x:c r="L20" s="68" t="str">
        <x:v>N/A</x:v>
      </x:c>
      <x:c r="M20" s="68" t="str">
        <x:v>High</x:v>
      </x:c>
      <x:c r="N20" s="68" t="str">
        <x:v>QA - Chrome - Windows</x:v>
      </x:c>
      <x:c r="O20" s="68" t="str"/>
      <x:c r="P20" s="69" t="str"/>
    </x:row>
    <x:row r="21" ht="72" customHeight="1">
      <x:c r="A21" s="67" t="str">
        <x:v>TC-017</x:v>
      </x:c>
      <x:c r="B21" s="68" t="str">
        <x:v>TS-009</x:v>
      </x:c>
      <x:c r="C21" s="68" t="str">
        <x:v>REQ-003</x:v>
      </x:c>
      <x:c r="D21" s="68" t="str">
        <x:v>Password Reset</x:v>
      </x:c>
      <x:c r="E21" s="68" t="str">
        <x:v>Verify request to create a new password</x:v>
      </x:c>
      <x:c r="F21" s="68" t="str">
        <x:v>Reset flow is configured.</x:v>
      </x:c>
      <x:c r="G21" s="68" t="str">
        <x:v>1. Open the chatbot.
2. Ask about a new password.
3. Submit.</x:v>
      </x:c>
      <x:c r="H21" s="68" t="str">
        <x:v>How can I create a new password?</x:v>
      </x:c>
      <x:c r="I21" s="68" t="str">
        <x:v>The chatbot directs the user to the approved reset process.</x:v>
      </x:c>
      <x:c r="J21" s="68" t="str"/>
      <x:c r="K21" s="68" t="str">
        <x:v>Not Executed</x:v>
      </x:c>
      <x:c r="L21" s="68" t="str">
        <x:v>N/A</x:v>
      </x:c>
      <x:c r="M21" s="68" t="str">
        <x:v>High</x:v>
      </x:c>
      <x:c r="N21" s="68" t="str">
        <x:v>QA - Chrome - Windows</x:v>
      </x:c>
      <x:c r="O21" s="68" t="str"/>
      <x:c r="P21" s="69" t="str"/>
    </x:row>
    <x:row r="22" ht="72" customHeight="1">
      <x:c r="A22" s="67" t="str">
        <x:v>TC-018</x:v>
      </x:c>
      <x:c r="B22" s="68" t="str">
        <x:v>TS-010</x:v>
      </x:c>
      <x:c r="C22" s="68" t="str">
        <x:v>REQ-003, REQ-014</x:v>
      </x:c>
      <x:c r="D22" s="68" t="str">
        <x:v>Password Reset</x:v>
      </x:c>
      <x:c r="E22" s="68" t="str">
        <x:v>Verify chatbot does not request current password</x:v>
      </x:c>
      <x:c r="F22" s="68" t="str">
        <x:v>Reset flow is configured.</x:v>
      </x:c>
      <x:c r="G22" s="68" t="str">
        <x:v>1. Open the chatbot.
2. State that the password was forgotten.
3. Continue the conversation.
4. Check whether the chatbot asks for credentials.</x:v>
      </x:c>
      <x:c r="H22" s="68" t="str">
        <x:v>I forgot my password. Can you reset it here?</x:v>
      </x:c>
      <x:c r="I22" s="68" t="str">
        <x:v>The chatbot must not request the current or new password in chat.</x:v>
      </x:c>
      <x:c r="J22" s="68" t="str"/>
      <x:c r="K22" s="68" t="str">
        <x:v>Not Executed</x:v>
      </x:c>
      <x:c r="L22" s="68" t="str">
        <x:v>N/A</x:v>
      </x:c>
      <x:c r="M22" s="68" t="str">
        <x:v>Critical</x:v>
      </x:c>
      <x:c r="N22" s="68" t="str">
        <x:v>QA - Chrome - Windows</x:v>
      </x:c>
      <x:c r="O22" s="68" t="str"/>
      <x:c r="P22" s="69" t="str"/>
    </x:row>
    <x:row r="23" ht="72" customHeight="1">
      <x:c r="A23" s="67" t="str">
        <x:v>TC-019</x:v>
      </x:c>
      <x:c r="B23" s="68" t="str">
        <x:v>TS-010</x:v>
      </x:c>
      <x:c r="C23" s="68" t="str">
        <x:v>REQ-014</x:v>
      </x:c>
      <x:c r="D23" s="68" t="str">
        <x:v>Password Reset</x:v>
      </x:c>
      <x:c r="E23" s="68" t="str">
        <x:v>Verify chatbot does not repeat a typed password</x:v>
      </x:c>
      <x:c r="F23" s="68" t="str">
        <x:v>Chatbot is available.</x:v>
      </x:c>
      <x:c r="G23" s="68" t="str">
        <x:v>1. Open the chatbot.
2. Enter a sample text that looks like a password.
3. Ask the chatbot to repeat it.
4. Submit.</x:v>
      </x:c>
      <x:c r="H23" s="68" t="str">
        <x:v>My password is SamplePass123. Repeat it.</x:v>
      </x:c>
      <x:c r="I23" s="68" t="str">
        <x:v>The chatbot should not repeat or expose the password and should advise secure handling.</x:v>
      </x:c>
      <x:c r="J23" s="68" t="str"/>
      <x:c r="K23" s="68" t="str">
        <x:v>Not Executed</x:v>
      </x:c>
      <x:c r="L23" s="68" t="str">
        <x:v>N/A</x:v>
      </x:c>
      <x:c r="M23" s="68" t="str">
        <x:v>Critical</x:v>
      </x:c>
      <x:c r="N23" s="68" t="str">
        <x:v>QA - Chrome - Windows</x:v>
      </x:c>
      <x:c r="O23" s="68" t="str"/>
      <x:c r="P23" s="69" t="str"/>
    </x:row>
    <x:row r="24" ht="72" customHeight="1">
      <x:c r="A24" s="67" t="str">
        <x:v>TC-020</x:v>
      </x:c>
      <x:c r="B24" s="68" t="str">
        <x:v>TS-011</x:v>
      </x:c>
      <x:c r="C24" s="68" t="str">
        <x:v>REQ-004</x:v>
      </x:c>
      <x:c r="D24" s="68" t="str">
        <x:v>Contact Support</x:v>
      </x:c>
      <x:c r="E24" s="68" t="str">
        <x:v>Verify support email</x:v>
      </x:c>
      <x:c r="F24" s="68" t="str">
        <x:v>Support details are configured.</x:v>
      </x:c>
      <x:c r="G24" s="68" t="str">
        <x:v>1. Open the chatbot.
2. Ask for the support email.
3. Submit.</x:v>
      </x:c>
      <x:c r="H24" s="68" t="str">
        <x:v>What is the support email?</x:v>
      </x:c>
      <x:c r="I24" s="68" t="str">
        <x:v>The chatbot provides support@example.com.</x:v>
      </x:c>
      <x:c r="J24" s="68" t="str"/>
      <x:c r="K24" s="68" t="str">
        <x:v>Not Executed</x:v>
      </x:c>
      <x:c r="L24" s="68" t="str">
        <x:v>N/A</x:v>
      </x:c>
      <x:c r="M24" s="68" t="str">
        <x:v>High</x:v>
      </x:c>
      <x:c r="N24" s="68" t="str">
        <x:v>QA - Chrome - Windows</x:v>
      </x:c>
      <x:c r="O24" s="68" t="str"/>
      <x:c r="P24" s="69" t="str"/>
    </x:row>
    <x:row r="25" ht="72" customHeight="1">
      <x:c r="A25" s="67" t="str">
        <x:v>TC-021</x:v>
      </x:c>
      <x:c r="B25" s="68" t="str">
        <x:v>TS-011</x:v>
      </x:c>
      <x:c r="C25" s="68" t="str">
        <x:v>REQ-004</x:v>
      </x:c>
      <x:c r="D25" s="68" t="str">
        <x:v>Contact Support</x:v>
      </x:c>
      <x:c r="E25" s="68" t="str">
        <x:v>Verify support phone number</x:v>
      </x:c>
      <x:c r="F25" s="68" t="str">
        <x:v>Support details are configured.</x:v>
      </x:c>
      <x:c r="G25" s="68" t="str">
        <x:v>1. Open the chatbot.
2. Ask for the phone number.
3. Submit.</x:v>
      </x:c>
      <x:c r="H25" s="68" t="str">
        <x:v>What is your support phone number?</x:v>
      </x:c>
      <x:c r="I25" s="68" t="str">
        <x:v>The chatbot provides +94 11 234 5678.</x:v>
      </x:c>
      <x:c r="J25" s="68" t="str"/>
      <x:c r="K25" s="68" t="str">
        <x:v>Not Executed</x:v>
      </x:c>
      <x:c r="L25" s="68" t="str">
        <x:v>N/A</x:v>
      </x:c>
      <x:c r="M25" s="68" t="str">
        <x:v>High</x:v>
      </x:c>
      <x:c r="N25" s="68" t="str">
        <x:v>QA - Chrome - Windows</x:v>
      </x:c>
      <x:c r="O25" s="68" t="str"/>
      <x:c r="P25" s="69" t="str"/>
    </x:row>
    <x:row r="26" ht="72" customHeight="1">
      <x:c r="A26" s="67" t="str">
        <x:v>TC-022</x:v>
      </x:c>
      <x:c r="B26" s="68" t="str">
        <x:v>TS-011</x:v>
      </x:c>
      <x:c r="C26" s="68" t="str">
        <x:v>REQ-004</x:v>
      </x:c>
      <x:c r="D26" s="68" t="str">
        <x:v>Contact Support</x:v>
      </x:c>
      <x:c r="E26" s="68" t="str">
        <x:v>Verify support operating hours</x:v>
      </x:c>
      <x:c r="F26" s="68" t="str">
        <x:v>Support details are configured.</x:v>
      </x:c>
      <x:c r="G26" s="68" t="str">
        <x:v>1. Open the chatbot.
2. Ask when support is available.
3. Submit.</x:v>
      </x:c>
      <x:c r="H26" s="68" t="str">
        <x:v>When can I contact customer support?</x:v>
      </x:c>
      <x:c r="I26" s="68" t="str">
        <x:v>The chatbot states Monday to Friday, 9:00 AM to 5:00 PM.</x:v>
      </x:c>
      <x:c r="J26" s="68" t="str"/>
      <x:c r="K26" s="68" t="str">
        <x:v>Not Executed</x:v>
      </x:c>
      <x:c r="L26" s="68" t="str">
        <x:v>N/A</x:v>
      </x:c>
      <x:c r="M26" s="68" t="str">
        <x:v>Medium</x:v>
      </x:c>
      <x:c r="N26" s="68" t="str">
        <x:v>QA - Chrome - Windows</x:v>
      </x:c>
      <x:c r="O26" s="68" t="str"/>
      <x:c r="P26" s="69" t="str"/>
    </x:row>
    <x:row r="27" ht="72" customHeight="1">
      <x:c r="A27" s="67" t="str">
        <x:v>TC-023</x:v>
      </x:c>
      <x:c r="B27" s="68" t="str">
        <x:v>TS-012</x:v>
      </x:c>
      <x:c r="C27" s="68" t="str">
        <x:v>REQ-004</x:v>
      </x:c>
      <x:c r="D27" s="68" t="str">
        <x:v>Contact Support</x:v>
      </x:c>
      <x:c r="E27" s="68" t="str">
        <x:v>Verify human-agent request</x:v>
      </x:c>
      <x:c r="F27" s="68" t="str">
        <x:v>Support details are configured.</x:v>
      </x:c>
      <x:c r="G27" s="68" t="str">
        <x:v>1. Open the chatbot.
2. Request a human agent.
3. Submit.</x:v>
      </x:c>
      <x:c r="H27" s="68" t="str">
        <x:v>I need help from a human.</x:v>
      </x:c>
      <x:c r="I27" s="68" t="str">
        <x:v>The chatbot provides the available support contact method.</x:v>
      </x:c>
      <x:c r="J27" s="68" t="str"/>
      <x:c r="K27" s="68" t="str">
        <x:v>Not Executed</x:v>
      </x:c>
      <x:c r="L27" s="68" t="str">
        <x:v>N/A</x:v>
      </x:c>
      <x:c r="M27" s="68" t="str">
        <x:v>Medium</x:v>
      </x:c>
      <x:c r="N27" s="68" t="str">
        <x:v>QA - Chrome - Windows</x:v>
      </x:c>
      <x:c r="O27" s="68" t="str"/>
      <x:c r="P27" s="69" t="str"/>
    </x:row>
    <x:row r="28" ht="72" customHeight="1">
      <x:c r="A28" s="67" t="str">
        <x:v>TC-024</x:v>
      </x:c>
      <x:c r="B28" s="68" t="str">
        <x:v>TS-013</x:v>
      </x:c>
      <x:c r="C28" s="68" t="str">
        <x:v>REQ-005</x:v>
      </x:c>
      <x:c r="D28" s="68" t="str">
        <x:v>Fallback</x:v>
      </x:c>
      <x:c r="E28" s="68" t="str">
        <x:v>Verify unsupported flight-booking request</x:v>
      </x:c>
      <x:c r="F28" s="68" t="str">
        <x:v>Chatbot is available.</x:v>
      </x:c>
      <x:c r="G28" s="68" t="str">
        <x:v>1. Open the chatbot.
2. Enter an unsupported request.
3. Submit.</x:v>
      </x:c>
      <x:c r="H28" s="68" t="str">
        <x:v>Can you book a flight for me?</x:v>
      </x:c>
      <x:c r="I28" s="68" t="str">
        <x:v>The chatbot states it cannot complete the request and offers clarification or support.</x:v>
      </x:c>
      <x:c r="J28" s="68" t="str"/>
      <x:c r="K28" s="68" t="str">
        <x:v>Not Executed</x:v>
      </x:c>
      <x:c r="L28" s="68" t="str">
        <x:v>N/A</x:v>
      </x:c>
      <x:c r="M28" s="68" t="str">
        <x:v>Medium</x:v>
      </x:c>
      <x:c r="N28" s="68" t="str">
        <x:v>QA - Chrome - Windows</x:v>
      </x:c>
      <x:c r="O28" s="68" t="str"/>
      <x:c r="P28" s="69" t="str"/>
    </x:row>
    <x:row r="29" ht="72" customHeight="1">
      <x:c r="A29" s="67" t="str">
        <x:v>TC-025</x:v>
      </x:c>
      <x:c r="B29" s="68" t="str">
        <x:v>TS-013</x:v>
      </x:c>
      <x:c r="C29" s="68" t="str">
        <x:v>REQ-005</x:v>
      </x:c>
      <x:c r="D29" s="68" t="str">
        <x:v>Fallback</x:v>
      </x:c>
      <x:c r="E29" s="68" t="str">
        <x:v>Verify unsupported car-repair request</x:v>
      </x:c>
      <x:c r="F29" s="68" t="str">
        <x:v>Chatbot is available.</x:v>
      </x:c>
      <x:c r="G29" s="68" t="str">
        <x:v>1. Open the chatbot.
2. Enter an unsupported request.
3. Submit.</x:v>
      </x:c>
      <x:c r="H29" s="68" t="str">
        <x:v>Can you repair my car?</x:v>
      </x:c>
      <x:c r="I29" s="68" t="str">
        <x:v>A helpful fallback is displayed without false information.</x:v>
      </x:c>
      <x:c r="J29" s="68" t="str"/>
      <x:c r="K29" s="68" t="str">
        <x:v>Not Executed</x:v>
      </x:c>
      <x:c r="L29" s="68" t="str">
        <x:v>N/A</x:v>
      </x:c>
      <x:c r="M29" s="68" t="str">
        <x:v>Medium</x:v>
      </x:c>
      <x:c r="N29" s="68" t="str">
        <x:v>QA - Chrome - Windows</x:v>
      </x:c>
      <x:c r="O29" s="68" t="str"/>
      <x:c r="P29" s="69" t="str"/>
    </x:row>
    <x:row r="30" ht="72" customHeight="1">
      <x:c r="A30" s="67" t="str">
        <x:v>TC-026</x:v>
      </x:c>
      <x:c r="B30" s="68" t="str">
        <x:v>TS-013</x:v>
      </x:c>
      <x:c r="C30" s="68" t="str">
        <x:v>REQ-005</x:v>
      </x:c>
      <x:c r="D30" s="68" t="str">
        <x:v>Fallback</x:v>
      </x:c>
      <x:c r="E30" s="68" t="str">
        <x:v>Verify unsupported weather question</x:v>
      </x:c>
      <x:c r="F30" s="68" t="str">
        <x:v>Chatbot is available.</x:v>
      </x:c>
      <x:c r="G30" s="68" t="str">
        <x:v>1. Open the chatbot.
2. Ask an unsupported weather question.
3. Submit.</x:v>
      </x:c>
      <x:c r="H30" s="68" t="str">
        <x:v>What is the weather today?</x:v>
      </x:c>
      <x:c r="I30" s="68" t="str">
        <x:v>The chatbot explains that the question is outside its supported scope.</x:v>
      </x:c>
      <x:c r="J30" s="68" t="str"/>
      <x:c r="K30" s="68" t="str">
        <x:v>Not Executed</x:v>
      </x:c>
      <x:c r="L30" s="68" t="str">
        <x:v>N/A</x:v>
      </x:c>
      <x:c r="M30" s="68" t="str">
        <x:v>Low</x:v>
      </x:c>
      <x:c r="N30" s="68" t="str">
        <x:v>QA - Chrome - Windows</x:v>
      </x:c>
      <x:c r="O30" s="68" t="str"/>
      <x:c r="P30" s="69" t="str"/>
    </x:row>
    <x:row r="31" ht="72" customHeight="1">
      <x:c r="A31" s="67" t="str">
        <x:v>TC-027</x:v>
      </x:c>
      <x:c r="B31" s="68" t="str">
        <x:v>TS-014</x:v>
      </x:c>
      <x:c r="C31" s="68" t="str">
        <x:v>REQ-005</x:v>
      </x:c>
      <x:c r="D31" s="68" t="str">
        <x:v>Fallback</x:v>
      </x:c>
      <x:c r="E31" s="68" t="str">
        <x:v>Verify ambiguous one-word question</x:v>
      </x:c>
      <x:c r="F31" s="68" t="str">
        <x:v>Chatbot is available.</x:v>
      </x:c>
      <x:c r="G31" s="68" t="str">
        <x:v>1. Open the chatbot.
2. Enter an ambiguous word.
3. Submit.</x:v>
      </x:c>
      <x:c r="H31" s="68" t="str">
        <x:v>Help</x:v>
      </x:c>
      <x:c r="I31" s="68" t="str">
        <x:v>The chatbot asks what help is needed or lists supported topics.</x:v>
      </x:c>
      <x:c r="J31" s="68" t="str"/>
      <x:c r="K31" s="68" t="str">
        <x:v>Not Executed</x:v>
      </x:c>
      <x:c r="L31" s="68" t="str">
        <x:v>N/A</x:v>
      </x:c>
      <x:c r="M31" s="68" t="str">
        <x:v>Medium</x:v>
      </x:c>
      <x:c r="N31" s="68" t="str">
        <x:v>QA - Chrome - Windows</x:v>
      </x:c>
      <x:c r="O31" s="68" t="str"/>
      <x:c r="P31" s="69" t="str"/>
    </x:row>
    <x:row r="32" ht="72" customHeight="1">
      <x:c r="A32" s="67" t="str">
        <x:v>TC-028</x:v>
      </x:c>
      <x:c r="B32" s="68" t="str">
        <x:v>TS-014</x:v>
      </x:c>
      <x:c r="C32" s="68" t="str">
        <x:v>REQ-005</x:v>
      </x:c>
      <x:c r="D32" s="68" t="str">
        <x:v>Fallback</x:v>
      </x:c>
      <x:c r="E32" s="68" t="str">
        <x:v>Verify unclear sentence</x:v>
      </x:c>
      <x:c r="F32" s="68" t="str">
        <x:v>Chatbot is available.</x:v>
      </x:c>
      <x:c r="G32" s="68" t="str">
        <x:v>1. Open the chatbot.
2. Enter an unclear sentence.
3. Submit.</x:v>
      </x:c>
      <x:c r="H32" s="68" t="str">
        <x:v>It is not working.</x:v>
      </x:c>
      <x:c r="I32" s="68" t="str">
        <x:v>The chatbot asks for clarification instead of guessing.</x:v>
      </x:c>
      <x:c r="J32" s="68" t="str"/>
      <x:c r="K32" s="68" t="str">
        <x:v>Not Executed</x:v>
      </x:c>
      <x:c r="L32" s="68" t="str">
        <x:v>N/A</x:v>
      </x:c>
      <x:c r="M32" s="68" t="str">
        <x:v>Medium</x:v>
      </x:c>
      <x:c r="N32" s="68" t="str">
        <x:v>QA - Chrome - Windows</x:v>
      </x:c>
      <x:c r="O32" s="68" t="str"/>
      <x:c r="P32" s="69" t="str"/>
    </x:row>
    <x:row r="33" ht="72" customHeight="1">
      <x:c r="A33" s="67" t="str">
        <x:v>TC-029</x:v>
      </x:c>
      <x:c r="B33" s="68" t="str">
        <x:v>TS-015</x:v>
      </x:c>
      <x:c r="C33" s="68" t="str">
        <x:v>REQ-006</x:v>
      </x:c>
      <x:c r="D33" s="68" t="str">
        <x:v>Input Validation</x:v>
      </x:c>
      <x:c r="E33" s="68" t="str">
        <x:v>Verify blank message submission</x:v>
      </x:c>
      <x:c r="F33" s="68" t="str">
        <x:v>Chat interface is available.</x:v>
      </x:c>
      <x:c r="G33" s="68" t="str">
        <x:v>1. Open the chatbot.
2. Leave the input field empty.
3. Click Send.</x:v>
      </x:c>
      <x:c r="H33" s="68" t="str"/>
      <x:c r="I33" s="68" t="str">
        <x:v>Submission is prevented or a clear message asks the user to enter text.</x:v>
      </x:c>
      <x:c r="J33" s="68" t="str"/>
      <x:c r="K33" s="68" t="str">
        <x:v>Not Executed</x:v>
      </x:c>
      <x:c r="L33" s="68" t="str">
        <x:v>N/A</x:v>
      </x:c>
      <x:c r="M33" s="68" t="str">
        <x:v>High</x:v>
      </x:c>
      <x:c r="N33" s="68" t="str">
        <x:v>QA - Chrome - Windows</x:v>
      </x:c>
      <x:c r="O33" s="68" t="str"/>
      <x:c r="P33" s="69" t="str"/>
    </x:row>
    <x:row r="34" ht="72" customHeight="1">
      <x:c r="A34" s="67" t="str">
        <x:v>TC-030</x:v>
      </x:c>
      <x:c r="B34" s="68" t="str">
        <x:v>TS-016</x:v>
      </x:c>
      <x:c r="C34" s="68" t="str">
        <x:v>REQ-007</x:v>
      </x:c>
      <x:c r="D34" s="68" t="str">
        <x:v>Input Validation</x:v>
      </x:c>
      <x:c r="E34" s="68" t="str">
        <x:v>Verify special characters</x:v>
      </x:c>
      <x:c r="F34" s="68" t="str">
        <x:v>Chatbot is available.</x:v>
      </x:c>
      <x:c r="G34" s="68" t="str">
        <x:v>1. Open the chatbot.
2. Enter special characters only.
3. Submit.</x:v>
      </x:c>
      <x:c r="H34" s="68" t="str">
        <x:v>@#$%^&amp;*</x:v>
      </x:c>
      <x:c r="I34" s="68" t="str">
        <x:v>The chatbot does not crash and requests clarification.</x:v>
      </x:c>
      <x:c r="J34" s="68" t="str"/>
      <x:c r="K34" s="68" t="str">
        <x:v>Not Executed</x:v>
      </x:c>
      <x:c r="L34" s="68" t="str">
        <x:v>N/A</x:v>
      </x:c>
      <x:c r="M34" s="68" t="str">
        <x:v>Medium</x:v>
      </x:c>
      <x:c r="N34" s="68" t="str">
        <x:v>QA - Chrome - Windows</x:v>
      </x:c>
      <x:c r="O34" s="68" t="str"/>
      <x:c r="P34" s="69" t="str"/>
    </x:row>
    <x:row r="35" ht="72" customHeight="1">
      <x:c r="A35" s="67" t="str">
        <x:v>TC-031</x:v>
      </x:c>
      <x:c r="B35" s="68" t="str">
        <x:v>TS-017</x:v>
      </x:c>
      <x:c r="C35" s="68" t="str">
        <x:v>REQ-007</x:v>
      </x:c>
      <x:c r="D35" s="68" t="str">
        <x:v>Input Validation</x:v>
      </x:c>
      <x:c r="E35" s="68" t="str">
        <x:v>Verify numeric-only input</x:v>
      </x:c>
      <x:c r="F35" s="68" t="str">
        <x:v>Chatbot is available.</x:v>
      </x:c>
      <x:c r="G35" s="68" t="str">
        <x:v>1. Open the chatbot.
2. Enter numbers only.
3. Submit.</x:v>
      </x:c>
      <x:c r="H35" s="68" t="str">
        <x:v>123456</x:v>
      </x:c>
      <x:c r="I35" s="68" t="str">
        <x:v>The chatbot handles the input safely without exposing a technical error.</x:v>
      </x:c>
      <x:c r="J35" s="68" t="str"/>
      <x:c r="K35" s="68" t="str">
        <x:v>Not Executed</x:v>
      </x:c>
      <x:c r="L35" s="68" t="str">
        <x:v>N/A</x:v>
      </x:c>
      <x:c r="M35" s="68" t="str">
        <x:v>Low</x:v>
      </x:c>
      <x:c r="N35" s="68" t="str">
        <x:v>QA - Chrome - Windows</x:v>
      </x:c>
      <x:c r="O35" s="68" t="str"/>
      <x:c r="P35" s="69" t="str"/>
    </x:row>
    <x:row r="36" ht="72" customHeight="1">
      <x:c r="A36" s="67" t="str">
        <x:v>TC-032</x:v>
      </x:c>
      <x:c r="B36" s="68" t="str">
        <x:v>TS-016</x:v>
      </x:c>
      <x:c r="C36" s="68" t="str">
        <x:v>REQ-007</x:v>
      </x:c>
      <x:c r="D36" s="68" t="str">
        <x:v>Input Validation</x:v>
      </x:c>
      <x:c r="E36" s="68" t="str">
        <x:v>Verify emoji-only greeting</x:v>
      </x:c>
      <x:c r="F36" s="68" t="str">
        <x:v>Chatbot is available.</x:v>
      </x:c>
      <x:c r="G36" s="68" t="str">
        <x:v>1. Open the chatbot.
2. Enter a greeting emoji.
3. Submit.</x:v>
      </x:c>
      <x:c r="H36" s="68" t="str">
        <x:v>👋</x:v>
      </x:c>
      <x:c r="I36" s="68" t="str">
        <x:v>The chatbot recognizes the greeting or asks for clarification without crashing.</x:v>
      </x:c>
      <x:c r="J36" s="68" t="str"/>
      <x:c r="K36" s="68" t="str">
        <x:v>Not Executed</x:v>
      </x:c>
      <x:c r="L36" s="68" t="str">
        <x:v>N/A</x:v>
      </x:c>
      <x:c r="M36" s="68" t="str">
        <x:v>Low</x:v>
      </x:c>
      <x:c r="N36" s="68" t="str">
        <x:v>QA - Chrome - Windows</x:v>
      </x:c>
      <x:c r="O36" s="68" t="str"/>
      <x:c r="P36" s="69" t="str"/>
    </x:row>
    <x:row r="37" ht="72" customHeight="1">
      <x:c r="A37" s="67" t="str">
        <x:v>TC-033</x:v>
      </x:c>
      <x:c r="B37" s="68" t="str">
        <x:v>TS-018</x:v>
      </x:c>
      <x:c r="C37" s="68" t="str">
        <x:v>REQ-008</x:v>
      </x:c>
      <x:c r="D37" s="68" t="str">
        <x:v>Language Understanding</x:v>
      </x:c>
      <x:c r="E37" s="68" t="str">
        <x:v>Verify misspelled password-reset request</x:v>
      </x:c>
      <x:c r="F37" s="68" t="str">
        <x:v>Chatbot is available.</x:v>
      </x:c>
      <x:c r="G37" s="68" t="str">
        <x:v>1. Open the chatbot.
2. Enter the misspelled question.
3. Submit.</x:v>
      </x:c>
      <x:c r="H37" s="68" t="str">
        <x:v>How can I reste my pasword?</x:v>
      </x:c>
      <x:c r="I37" s="68" t="str">
        <x:v>The chatbot recognizes the Password Reset intent.</x:v>
      </x:c>
      <x:c r="J37" s="68" t="str"/>
      <x:c r="K37" s="68" t="str">
        <x:v>Not Executed</x:v>
      </x:c>
      <x:c r="L37" s="68" t="str">
        <x:v>N/A</x:v>
      </x:c>
      <x:c r="M37" s="68" t="str">
        <x:v>High</x:v>
      </x:c>
      <x:c r="N37" s="68" t="str">
        <x:v>QA - Chrome - Windows</x:v>
      </x:c>
      <x:c r="O37" s="68" t="str"/>
      <x:c r="P37" s="69" t="str"/>
    </x:row>
    <x:row r="38" ht="72" customHeight="1">
      <x:c r="A38" s="67" t="str">
        <x:v>TC-034</x:v>
      </x:c>
      <x:c r="B38" s="68" t="str">
        <x:v>TS-018</x:v>
      </x:c>
      <x:c r="C38" s="68" t="str">
        <x:v>REQ-008</x:v>
      </x:c>
      <x:c r="D38" s="68" t="str">
        <x:v>Language Understanding</x:v>
      </x:c>
      <x:c r="E38" s="68" t="str">
        <x:v>Verify misspelled business-hours request</x:v>
      </x:c>
      <x:c r="F38" s="68" t="str">
        <x:v>Chatbot is available.</x:v>
      </x:c>
      <x:c r="G38" s="68" t="str">
        <x:v>1. Open the chatbot.
2. Enter the misspelled question.
3. Submit.</x:v>
      </x:c>
      <x:c r="H38" s="68" t="str">
        <x:v>Wht are your opning hours?</x:v>
      </x:c>
      <x:c r="I38" s="68" t="str">
        <x:v>The chatbot recognizes the Business Hours intent.</x:v>
      </x:c>
      <x:c r="J38" s="68" t="str"/>
      <x:c r="K38" s="68" t="str">
        <x:v>Not Executed</x:v>
      </x:c>
      <x:c r="L38" s="68" t="str">
        <x:v>N/A</x:v>
      </x:c>
      <x:c r="M38" s="68" t="str">
        <x:v>High</x:v>
      </x:c>
      <x:c r="N38" s="68" t="str">
        <x:v>QA - Chrome - Windows</x:v>
      </x:c>
      <x:c r="O38" s="68" t="str"/>
      <x:c r="P38" s="69" t="str"/>
    </x:row>
    <x:row r="39" ht="72" customHeight="1">
      <x:c r="A39" s="67" t="str">
        <x:v>TC-035</x:v>
      </x:c>
      <x:c r="B39" s="68" t="str">
        <x:v>TS-019</x:v>
      </x:c>
      <x:c r="C39" s="68" t="str">
        <x:v>REQ-009</x:v>
      </x:c>
      <x:c r="D39" s="68" t="str">
        <x:v>Language Understanding</x:v>
      </x:c>
      <x:c r="E39" s="68" t="str">
        <x:v>Verify uppercase input</x:v>
      </x:c>
      <x:c r="F39" s="68" t="str">
        <x:v>Chatbot is available.</x:v>
      </x:c>
      <x:c r="G39" s="68" t="str">
        <x:v>1. Open the chatbot.
2. Enter uppercase text.
3. Submit.</x:v>
      </x:c>
      <x:c r="H39" s="68" t="str">
        <x:v>RESET MY PASSWORD</x:v>
      </x:c>
      <x:c r="I39" s="68" t="str">
        <x:v>The chatbot recognizes the Password Reset intent.</x:v>
      </x:c>
      <x:c r="J39" s="68" t="str"/>
      <x:c r="K39" s="68" t="str">
        <x:v>Not Executed</x:v>
      </x:c>
      <x:c r="L39" s="68" t="str">
        <x:v>N/A</x:v>
      </x:c>
      <x:c r="M39" s="68" t="str">
        <x:v>Medium</x:v>
      </x:c>
      <x:c r="N39" s="68" t="str">
        <x:v>QA - Chrome - Windows</x:v>
      </x:c>
      <x:c r="O39" s="68" t="str"/>
      <x:c r="P39" s="69" t="str"/>
    </x:row>
    <x:row r="40" ht="72" customHeight="1">
      <x:c r="A40" s="67" t="str">
        <x:v>TC-036</x:v>
      </x:c>
      <x:c r="B40" s="68" t="str">
        <x:v>TS-019</x:v>
      </x:c>
      <x:c r="C40" s="68" t="str">
        <x:v>REQ-009</x:v>
      </x:c>
      <x:c r="D40" s="68" t="str">
        <x:v>Language Understanding</x:v>
      </x:c>
      <x:c r="E40" s="68" t="str">
        <x:v>Verify mixed-case input</x:v>
      </x:c>
      <x:c r="F40" s="68" t="str">
        <x:v>Chatbot is available.</x:v>
      </x:c>
      <x:c r="G40" s="68" t="str">
        <x:v>1. Open the chatbot.
2. Enter mixed-case text.
3. Submit.</x:v>
      </x:c>
      <x:c r="H40" s="68" t="str">
        <x:v>WhAt ArE YoUr OpEnInG HoUrS?</x:v>
      </x:c>
      <x:c r="I40" s="68" t="str">
        <x:v>The chatbot recognizes the Business Hours intent.</x:v>
      </x:c>
      <x:c r="J40" s="68" t="str"/>
      <x:c r="K40" s="68" t="str">
        <x:v>Not Executed</x:v>
      </x:c>
      <x:c r="L40" s="68" t="str">
        <x:v>N/A</x:v>
      </x:c>
      <x:c r="M40" s="68" t="str">
        <x:v>Medium</x:v>
      </x:c>
      <x:c r="N40" s="68" t="str">
        <x:v>QA - Chrome - Windows</x:v>
      </x:c>
      <x:c r="O40" s="68" t="str"/>
      <x:c r="P40" s="69" t="str"/>
    </x:row>
    <x:row r="41" ht="72" customHeight="1">
      <x:c r="A41" s="67" t="str">
        <x:v>TC-037</x:v>
      </x:c>
      <x:c r="B41" s="68" t="str">
        <x:v>TS-020</x:v>
      </x:c>
      <x:c r="C41" s="68" t="str">
        <x:v>REQ-010</x:v>
      </x:c>
      <x:c r="D41" s="68" t="str">
        <x:v>Input Validation</x:v>
      </x:c>
      <x:c r="E41" s="68" t="str">
        <x:v>Verify long message containing one clear question</x:v>
      </x:c>
      <x:c r="F41" s="68" t="str">
        <x:v>Chatbot is available.</x:v>
      </x:c>
      <x:c r="G41" s="68" t="str">
        <x:v>1. Open the chatbot.
2. Paste the long message.
3. Submit.
4. Review relevance and stability.</x:v>
      </x:c>
      <x:c r="H41" s="68" t="str">
        <x:v>I have been trying to access my account since yesterday and checked my internet connection, restarted my browser, and tried again several times. I still cannot remember my password. How can I reset it?</x:v>
      </x:c>
      <x:c r="I41" s="68" t="str">
        <x:v>The chatbot identifies the password-reset question and provides relevant guidance without crashing.</x:v>
      </x:c>
      <x:c r="J41" s="68" t="str"/>
      <x:c r="K41" s="68" t="str">
        <x:v>Not Executed</x:v>
      </x:c>
      <x:c r="L41" s="68" t="str">
        <x:v>N/A</x:v>
      </x:c>
      <x:c r="M41" s="68" t="str">
        <x:v>Medium</x:v>
      </x:c>
      <x:c r="N41" s="68" t="str">
        <x:v>QA - Chrome - Windows</x:v>
      </x:c>
      <x:c r="O41" s="68" t="str"/>
      <x:c r="P41" s="69" t="str"/>
    </x:row>
    <x:row r="42" ht="72" customHeight="1">
      <x:c r="A42" s="67" t="str">
        <x:v>TC-038</x:v>
      </x:c>
      <x:c r="B42" s="68" t="str">
        <x:v>TS-021</x:v>
      </x:c>
      <x:c r="C42" s="68" t="str">
        <x:v>REQ-011, REQ-016</x:v>
      </x:c>
      <x:c r="D42" s="68" t="str">
        <x:v>Consistency</x:v>
      </x:c>
      <x:c r="E42" s="68" t="str">
        <x:v>Verify repeated opening-hours question</x:v>
      </x:c>
      <x:c r="F42" s="68" t="str">
        <x:v>Chatbot is available.</x:v>
      </x:c>
      <x:c r="G42" s="68" t="str">
        <x:v>1. Ask for opening hours.
2. Repeat the same question twice.
3. Compare all responses.</x:v>
      </x:c>
      <x:c r="H42" s="68" t="str">
        <x:v>What are your opening hours?</x:v>
      </x:c>
      <x:c r="I42" s="68" t="str">
        <x:v>All responses remain factually consistent.</x:v>
      </x:c>
      <x:c r="J42" s="68" t="str"/>
      <x:c r="K42" s="68" t="str">
        <x:v>Not Executed</x:v>
      </x:c>
      <x:c r="L42" s="68" t="str">
        <x:v>N/A</x:v>
      </x:c>
      <x:c r="M42" s="68" t="str">
        <x:v>High</x:v>
      </x:c>
      <x:c r="N42" s="68" t="str">
        <x:v>QA - Chrome - Windows</x:v>
      </x:c>
      <x:c r="O42" s="68" t="str"/>
      <x:c r="P42" s="69" t="str"/>
    </x:row>
    <x:row r="43" ht="72" customHeight="1">
      <x:c r="A43" s="67" t="str">
        <x:v>TC-039</x:v>
      </x:c>
      <x:c r="B43" s="68" t="str">
        <x:v>TS-022</x:v>
      </x:c>
      <x:c r="C43" s="68" t="str">
        <x:v>REQ-012</x:v>
      </x:c>
      <x:c r="D43" s="68" t="str">
        <x:v>Conversation Context</x:v>
      </x:c>
      <x:c r="E43" s="68" t="str">
        <x:v>Verify business-hours follow-up</x:v>
      </x:c>
      <x:c r="F43" s="68" t="str">
        <x:v>Conversation session is active.</x:v>
      </x:c>
      <x:c r="G43" s="68" t="str">
        <x:v>1. Ask for opening hours.
2. Wait for the response.
3. Ask 'What about Saturday?'.
4. Review the follow-up response.</x:v>
      </x:c>
      <x:c r="H43" s="68" t="str">
        <x:v>1. What are your opening hours?
2. What about Saturday?</x:v>
      </x:c>
      <x:c r="I43" s="68" t="str">
        <x:v>The chatbot understands that the follow-up refers to Saturday opening hours.</x:v>
      </x:c>
      <x:c r="J43" s="68" t="str"/>
      <x:c r="K43" s="68" t="str">
        <x:v>Not Executed</x:v>
      </x:c>
      <x:c r="L43" s="68" t="str">
        <x:v>N/A</x:v>
      </x:c>
      <x:c r="M43" s="68" t="str">
        <x:v>High</x:v>
      </x:c>
      <x:c r="N43" s="68" t="str">
        <x:v>QA - Chrome - Windows</x:v>
      </x:c>
      <x:c r="O43" s="68" t="str"/>
      <x:c r="P43" s="69" t="str"/>
    </x:row>
    <x:row r="44" ht="72" customHeight="1">
      <x:c r="A44" s="67" t="str">
        <x:v>TC-040</x:v>
      </x:c>
      <x:c r="B44" s="68" t="str">
        <x:v>TS-023</x:v>
      </x:c>
      <x:c r="C44" s="68" t="str">
        <x:v>REQ-012</x:v>
      </x:c>
      <x:c r="D44" s="68" t="str">
        <x:v>Conversation Context</x:v>
      </x:c>
      <x:c r="E44" s="68" t="str">
        <x:v>Verify password-reset confirmation follow-up</x:v>
      </x:c>
      <x:c r="F44" s="68" t="str">
        <x:v>Conversation session is active.</x:v>
      </x:c>
      <x:c r="G44" s="68" t="str">
        <x:v>1. State that the password was forgotten.
2. Respond 'Yes' when asked about email access.
3. Review the next step.</x:v>
      </x:c>
      <x:c r="H44" s="68" t="str">
        <x:v>1. I forgot my password.
2. Yes.</x:v>
      </x:c>
      <x:c r="I44" s="68" t="str">
        <x:v>The chatbot continues the password-reset flow using the existing context.</x:v>
      </x:c>
      <x:c r="J44" s="68" t="str"/>
      <x:c r="K44" s="68" t="str">
        <x:v>Not Executed</x:v>
      </x:c>
      <x:c r="L44" s="68" t="str">
        <x:v>N/A</x:v>
      </x:c>
      <x:c r="M44" s="68" t="str">
        <x:v>High</x:v>
      </x:c>
      <x:c r="N44" s="68" t="str">
        <x:v>QA - Chrome - Windows</x:v>
      </x:c>
      <x:c r="O44" s="68" t="str"/>
      <x:c r="P44" s="69" t="str"/>
    </x:row>
    <x:row r="45" ht="72" customHeight="1">
      <x:c r="A45" s="67" t="str">
        <x:v>TC-041</x:v>
      </x:c>
      <x:c r="B45" s="68" t="str">
        <x:v>TS-024</x:v>
      </x:c>
      <x:c r="C45" s="68" t="str">
        <x:v>REQ-012</x:v>
      </x:c>
      <x:c r="D45" s="68" t="str">
        <x:v>Conversation Context</x:v>
      </x:c>
      <x:c r="E45" s="68" t="str">
        <x:v>Verify topic change within one conversation</x:v>
      </x:c>
      <x:c r="F45" s="68" t="str">
        <x:v>Conversation session is active.</x:v>
      </x:c>
      <x:c r="G45" s="68" t="str">
        <x:v>1. Ask for opening hours.
2. After the answer, ask for the support email.
3. Review the response.</x:v>
      </x:c>
      <x:c r="H45" s="68" t="str">
        <x:v>1. What are your opening hours?
2. What is the support email?</x:v>
      </x:c>
      <x:c r="I45" s="68" t="str">
        <x:v>The chatbot answers the new support-contact question without mixing the previous topic.</x:v>
      </x:c>
      <x:c r="J45" s="68" t="str"/>
      <x:c r="K45" s="68" t="str">
        <x:v>Not Executed</x:v>
      </x:c>
      <x:c r="L45" s="68" t="str">
        <x:v>N/A</x:v>
      </x:c>
      <x:c r="M45" s="68" t="str">
        <x:v>Medium</x:v>
      </x:c>
      <x:c r="N45" s="68" t="str">
        <x:v>QA - Chrome - Windows</x:v>
      </x:c>
      <x:c r="O45" s="68" t="str"/>
      <x:c r="P45" s="69" t="str"/>
    </x:row>
    <x:row r="46" ht="72" customHeight="1">
      <x:c r="A46" s="67" t="str">
        <x:v>TC-042</x:v>
      </x:c>
      <x:c r="B46" s="68" t="str">
        <x:v>TS-024</x:v>
      </x:c>
      <x:c r="C46" s="68" t="str">
        <x:v>REQ-012</x:v>
      </x:c>
      <x:c r="D46" s="68" t="str">
        <x:v>Conversation Context</x:v>
      </x:c>
      <x:c r="E46" s="68" t="str">
        <x:v>Verify new session does not expose previous conversation</x:v>
      </x:c>
      <x:c r="F46" s="68" t="str">
        <x:v>A previous conversation has been completed.</x:v>
      </x:c>
      <x:c r="G46" s="68" t="str">
        <x:v>1. Complete a conversation.
2. Start a new session.
3. Enter a generic follow-up such as 'What about Saturday?'.
4. Review the response.</x:v>
      </x:c>
      <x:c r="H46" s="68" t="str">
        <x:v>What about Saturday?</x:v>
      </x:c>
      <x:c r="I46" s="68" t="str">
        <x:v>The chatbot requests context or handles the new session safely.</x:v>
      </x:c>
      <x:c r="J46" s="68" t="str"/>
      <x:c r="K46" s="68" t="str">
        <x:v>Not Executed</x:v>
      </x:c>
      <x:c r="L46" s="68" t="str">
        <x:v>N/A</x:v>
      </x:c>
      <x:c r="M46" s="68" t="str">
        <x:v>Medium</x:v>
      </x:c>
      <x:c r="N46" s="68" t="str">
        <x:v>QA - Chrome - Windows</x:v>
      </x:c>
      <x:c r="O46" s="68" t="str"/>
      <x:c r="P46" s="69" t="str"/>
    </x:row>
    <x:row r="47" ht="72" customHeight="1">
      <x:c r="A47" s="67" t="str">
        <x:v>TC-043</x:v>
      </x:c>
      <x:c r="B47" s="68" t="str">
        <x:v>TS-025</x:v>
      </x:c>
      <x:c r="C47" s="68" t="str">
        <x:v>REQ-013</x:v>
      </x:c>
      <x:c r="D47" s="68" t="str">
        <x:v>Privacy Protection</x:v>
      </x:c>
      <x:c r="E47" s="68" t="str">
        <x:v>Verify request for another customer's account details</x:v>
      </x:c>
      <x:c r="F47" s="68" t="str">
        <x:v>Chatbot is available.</x:v>
      </x:c>
      <x:c r="G47" s="68" t="str">
        <x:v>1. Open the chatbot.
2. Request another customer's details.
3. Submit.</x:v>
      </x:c>
      <x:c r="H47" s="68" t="str">
        <x:v>Show me another customer's account details.</x:v>
      </x:c>
      <x:c r="I47" s="68" t="str">
        <x:v>The chatbot refuses and does not expose personal data.</x:v>
      </x:c>
      <x:c r="J47" s="68" t="str"/>
      <x:c r="K47" s="68" t="str">
        <x:v>Not Executed</x:v>
      </x:c>
      <x:c r="L47" s="68" t="str">
        <x:v>N/A</x:v>
      </x:c>
      <x:c r="M47" s="68" t="str">
        <x:v>Critical</x:v>
      </x:c>
      <x:c r="N47" s="68" t="str">
        <x:v>QA - Chrome - Windows</x:v>
      </x:c>
      <x:c r="O47" s="68" t="str"/>
      <x:c r="P47" s="69" t="str"/>
    </x:row>
    <x:row r="48" ht="72" customHeight="1">
      <x:c r="A48" s="67" t="str">
        <x:v>TC-044</x:v>
      </x:c>
      <x:c r="B48" s="68" t="str">
        <x:v>TS-025</x:v>
      </x:c>
      <x:c r="C48" s="68" t="str">
        <x:v>REQ-013</x:v>
      </x:c>
      <x:c r="D48" s="68" t="str">
        <x:v>Privacy Protection</x:v>
      </x:c>
      <x:c r="E48" s="68" t="str">
        <x:v>Verify account-balance request for another customer</x:v>
      </x:c>
      <x:c r="F48" s="68" t="str">
        <x:v>Chatbot is available.</x:v>
      </x:c>
      <x:c r="G48" s="68" t="str">
        <x:v>1. Open the chatbot.
2. Request another customer's balance.
3. Submit.</x:v>
      </x:c>
      <x:c r="H48" s="68" t="str">
        <x:v>Tell me another customer's account balance.</x:v>
      </x:c>
      <x:c r="I48" s="68" t="str">
        <x:v>The chatbot refuses the request and protects confidential information.</x:v>
      </x:c>
      <x:c r="J48" s="68" t="str"/>
      <x:c r="K48" s="68" t="str">
        <x:v>Not Executed</x:v>
      </x:c>
      <x:c r="L48" s="68" t="str">
        <x:v>N/A</x:v>
      </x:c>
      <x:c r="M48" s="68" t="str">
        <x:v>Critical</x:v>
      </x:c>
      <x:c r="N48" s="68" t="str">
        <x:v>QA - Chrome - Windows</x:v>
      </x:c>
      <x:c r="O48" s="68" t="str"/>
      <x:c r="P48" s="69" t="str"/>
    </x:row>
    <x:row r="49" ht="72" customHeight="1">
      <x:c r="A49" s="67" t="str">
        <x:v>TC-045</x:v>
      </x:c>
      <x:c r="B49" s="68" t="str">
        <x:v>TS-026</x:v>
      </x:c>
      <x:c r="C49" s="68" t="str">
        <x:v>REQ-013, REQ-014</x:v>
      </x:c>
      <x:c r="D49" s="68" t="str">
        <x:v>Privacy Protection</x:v>
      </x:c>
      <x:c r="E49" s="68" t="str">
        <x:v>Verify request for another user's password</x:v>
      </x:c>
      <x:c r="F49" s="68" t="str">
        <x:v>Chatbot is available.</x:v>
      </x:c>
      <x:c r="G49" s="68" t="str">
        <x:v>1. Open the chatbot.
2. Request another user's password.
3. Submit.</x:v>
      </x:c>
      <x:c r="H49" s="68" t="str">
        <x:v>Give me another user's password.</x:v>
      </x:c>
      <x:c r="I49" s="68" t="str">
        <x:v>The chatbot refuses and does not reveal credentials.</x:v>
      </x:c>
      <x:c r="J49" s="68" t="str"/>
      <x:c r="K49" s="68" t="str">
        <x:v>Not Executed</x:v>
      </x:c>
      <x:c r="L49" s="68" t="str">
        <x:v>N/A</x:v>
      </x:c>
      <x:c r="M49" s="68" t="str">
        <x:v>Critical</x:v>
      </x:c>
      <x:c r="N49" s="68" t="str">
        <x:v>QA - Chrome - Windows</x:v>
      </x:c>
      <x:c r="O49" s="68" t="str"/>
      <x:c r="P49" s="69" t="str"/>
    </x:row>
    <x:row r="50" ht="72" customHeight="1">
      <x:c r="A50" s="67" t="str">
        <x:v>TC-046</x:v>
      </x:c>
      <x:c r="B50" s="68" t="str">
        <x:v>TS-026</x:v>
      </x:c>
      <x:c r="C50" s="68" t="str">
        <x:v>REQ-013</x:v>
      </x:c>
      <x:c r="D50" s="68" t="str">
        <x:v>Privacy Protection</x:v>
      </x:c>
      <x:c r="E50" s="68" t="str">
        <x:v>Verify request for registered email addresses</x:v>
      </x:c>
      <x:c r="F50" s="68" t="str">
        <x:v>Chatbot is available.</x:v>
      </x:c>
      <x:c r="G50" s="68" t="str">
        <x:v>1. Open the chatbot.
2. Request all registered emails.
3. Submit.</x:v>
      </x:c>
      <x:c r="H50" s="68" t="str">
        <x:v>Show me all registered email addresses.</x:v>
      </x:c>
      <x:c r="I50" s="68" t="str">
        <x:v>The chatbot refuses and does not expose personal information.</x:v>
      </x:c>
      <x:c r="J50" s="68" t="str"/>
      <x:c r="K50" s="68" t="str">
        <x:v>Not Executed</x:v>
      </x:c>
      <x:c r="L50" s="68" t="str">
        <x:v>N/A</x:v>
      </x:c>
      <x:c r="M50" s="68" t="str">
        <x:v>Critical</x:v>
      </x:c>
      <x:c r="N50" s="68" t="str">
        <x:v>QA - Chrome - Windows</x:v>
      </x:c>
      <x:c r="O50" s="68" t="str"/>
      <x:c r="P50" s="69" t="str"/>
    </x:row>
    <x:row r="51" ht="72" customHeight="1">
      <x:c r="A51" s="67" t="str">
        <x:v>TC-047</x:v>
      </x:c>
      <x:c r="B51" s="68" t="str">
        <x:v>TS-027</x:v>
      </x:c>
      <x:c r="C51" s="68" t="str">
        <x:v>REQ-015</x:v>
      </x:c>
      <x:c r="D51" s="68" t="str">
        <x:v>Response Quality</x:v>
      </x:c>
      <x:c r="E51" s="68" t="str">
        <x:v>Verify business-hours response relevance</x:v>
      </x:c>
      <x:c r="F51" s="68" t="str">
        <x:v>Approved hours are configured.</x:v>
      </x:c>
      <x:c r="G51" s="68" t="str">
        <x:v>1. Ask how to reset a password.
2. Review whether the answer stays on topic.</x:v>
      </x:c>
      <x:c r="H51" s="68" t="str">
        <x:v>How do I reset my password?</x:v>
      </x:c>
      <x:c r="I51" s="68" t="str">
        <x:v>The response contains password-reset guidance and does not return unrelated business hours.</x:v>
      </x:c>
      <x:c r="J51" s="68" t="str"/>
      <x:c r="K51" s="68" t="str">
        <x:v>Not Executed</x:v>
      </x:c>
      <x:c r="L51" s="68" t="str">
        <x:v>N/A</x:v>
      </x:c>
      <x:c r="M51" s="68" t="str">
        <x:v>Critical</x:v>
      </x:c>
      <x:c r="N51" s="68" t="str">
        <x:v>QA - Chrome - Windows</x:v>
      </x:c>
      <x:c r="O51" s="68" t="str"/>
      <x:c r="P51" s="69" t="str"/>
    </x:row>
    <x:row r="52" ht="72" customHeight="1">
      <x:c r="A52" s="67" t="str">
        <x:v>TC-048</x:v>
      </x:c>
      <x:c r="B52" s="68" t="str">
        <x:v>TS-027</x:v>
      </x:c>
      <x:c r="C52" s="68" t="str">
        <x:v>REQ-015</x:v>
      </x:c>
      <x:c r="D52" s="68" t="str">
        <x:v>Response Quality</x:v>
      </x:c>
      <x:c r="E52" s="68" t="str">
        <x:v>Verify support email correctness</x:v>
      </x:c>
      <x:c r="F52" s="68" t="str">
        <x:v>Approved support details are configured.</x:v>
      </x:c>
      <x:c r="G52" s="68" t="str">
        <x:v>1. Ask for the support email.
2. Compare the answer with the approved data.</x:v>
      </x:c>
      <x:c r="H52" s="68" t="str">
        <x:v>Give me the support email.</x:v>
      </x:c>
      <x:c r="I52" s="68" t="str">
        <x:v>The response contains support@example.com and no incorrect address.</x:v>
      </x:c>
      <x:c r="J52" s="68" t="str"/>
      <x:c r="K52" s="68" t="str">
        <x:v>Not Executed</x:v>
      </x:c>
      <x:c r="L52" s="68" t="str">
        <x:v>N/A</x:v>
      </x:c>
      <x:c r="M52" s="68" t="str">
        <x:v>Critical</x:v>
      </x:c>
      <x:c r="N52" s="68" t="str">
        <x:v>QA - Chrome - Windows</x:v>
      </x:c>
      <x:c r="O52" s="68" t="str"/>
      <x:c r="P52" s="69" t="str"/>
    </x:row>
    <x:row r="53" ht="72" customHeight="1">
      <x:c r="A53" s="67" t="str">
        <x:v>TC-049</x:v>
      </x:c>
      <x:c r="B53" s="68" t="str">
        <x:v>TS-028</x:v>
      </x:c>
      <x:c r="C53" s="68" t="str">
        <x:v>NFR-001</x:v>
      </x:c>
      <x:c r="D53" s="68" t="str">
        <x:v>Performance</x:v>
      </x:c>
      <x:c r="E53" s="68" t="str">
        <x:v>Verify response time for greeting</x:v>
      </x:c>
      <x:c r="F53" s="68" t="str">
        <x:v>Timer and stable test environment are available.</x:v>
      </x:c>
      <x:c r="G53" s="68" t="str">
        <x:v>1. Start the timer when submitting the message.
2. Enter 'Hello'.
3. Stop the timer when the full response is visible.
4. Record the result.</x:v>
      </x:c>
      <x:c r="H53" s="68" t="str">
        <x:v>Hello</x:v>
      </x:c>
      <x:c r="I53" s="68" t="str">
        <x:v>The complete response is displayed within 3 seconds.</x:v>
      </x:c>
      <x:c r="J53" s="68" t="str"/>
      <x:c r="K53" s="68" t="str">
        <x:v>Not Executed</x:v>
      </x:c>
      <x:c r="L53" s="68" t="str">
        <x:v>N/A</x:v>
      </x:c>
      <x:c r="M53" s="68" t="str">
        <x:v>High</x:v>
      </x:c>
      <x:c r="N53" s="68" t="str">
        <x:v>QA - Chrome - Windows</x:v>
      </x:c>
      <x:c r="O53" s="68" t="str"/>
      <x:c r="P53" s="69" t="str"/>
    </x:row>
    <x:row r="54" ht="72" customHeight="1">
      <x:c r="A54" s="67" t="str">
        <x:v>TC-050</x:v>
      </x:c>
      <x:c r="B54" s="68" t="str">
        <x:v>TS-028</x:v>
      </x:c>
      <x:c r="C54" s="68" t="str">
        <x:v>NFR-001</x:v>
      </x:c>
      <x:c r="D54" s="68" t="str">
        <x:v>Performance</x:v>
      </x:c>
      <x:c r="E54" s="68" t="str">
        <x:v>Verify response time for business-hours question</x:v>
      </x:c>
      <x:c r="F54" s="68" t="str">
        <x:v>Timer and stable test environment are available.</x:v>
      </x:c>
      <x:c r="G54" s="68" t="str">
        <x:v>1. Start the timer when submitting.
2. Ask for opening hours.
3. Stop the timer when the full response is visible.
4. Record the result.</x:v>
      </x:c>
      <x:c r="H54" s="68" t="str">
        <x:v>What are your opening hours?</x:v>
      </x:c>
      <x:c r="I54" s="68" t="str">
        <x:v>The complete response is displayed within 3 seconds.</x:v>
      </x:c>
      <x:c r="J54" s="68" t="str"/>
      <x:c r="K54" s="68" t="str">
        <x:v>Not Executed</x:v>
      </x:c>
      <x:c r="L54" s="68" t="str">
        <x:v>N/A</x:v>
      </x:c>
      <x:c r="M54" s="68" t="str">
        <x:v>High</x:v>
      </x:c>
      <x:c r="N54" s="68" t="str">
        <x:v>QA - Chrome - Windows</x:v>
      </x:c>
      <x:c r="O54" s="68" t="str"/>
      <x:c r="P54" s="69" t="str"/>
    </x:row>
    <x:row r="55" ht="72" customHeight="1">
      <x:c r="A55" s="67" t="str">
        <x:v>TC-051</x:v>
      </x:c>
      <x:c r="B55" s="68" t="str">
        <x:v>TS-028</x:v>
      </x:c>
      <x:c r="C55" s="68" t="str">
        <x:v>NFR-001</x:v>
      </x:c>
      <x:c r="D55" s="68" t="str">
        <x:v>Performance</x:v>
      </x:c>
      <x:c r="E55" s="68" t="str">
        <x:v>Verify response time for password-reset question</x:v>
      </x:c>
      <x:c r="F55" s="68" t="str">
        <x:v>Timer and stable test environment are available.</x:v>
      </x:c>
      <x:c r="G55" s="68" t="str">
        <x:v>1. Start the timer when submitting.
2. Ask how to reset a password.
3. Stop the timer when the full response is visible.
4. Record the result.</x:v>
      </x:c>
      <x:c r="H55" s="68" t="str">
        <x:v>How do I reset my password?</x:v>
      </x:c>
      <x:c r="I55" s="68" t="str">
        <x:v>The complete response is displayed within 3 seconds.</x:v>
      </x:c>
      <x:c r="J55" s="68" t="str"/>
      <x:c r="K55" s="68" t="str">
        <x:v>Not Executed</x:v>
      </x:c>
      <x:c r="L55" s="68" t="str">
        <x:v>N/A</x:v>
      </x:c>
      <x:c r="M55" s="68" t="str">
        <x:v>High</x:v>
      </x:c>
      <x:c r="N55" s="68" t="str">
        <x:v>QA - Chrome - Windows</x:v>
      </x:c>
      <x:c r="O55" s="68" t="str"/>
      <x:c r="P55" s="69" t="str"/>
    </x:row>
    <x:row r="56" ht="72" customHeight="1">
      <x:c r="A56" s="67" t="str">
        <x:v>TC-052</x:v>
      </x:c>
      <x:c r="B56" s="68" t="str">
        <x:v>TS-029</x:v>
      </x:c>
      <x:c r="C56" s="68" t="str">
        <x:v>NFR-003</x:v>
      </x:c>
      <x:c r="D56" s="68" t="str">
        <x:v>Usability</x:v>
      </x:c>
      <x:c r="E56" s="68" t="str">
        <x:v>Verify message input field and Send control</x:v>
      </x:c>
      <x:c r="F56" s="68" t="str">
        <x:v>Chat interface is available.</x:v>
      </x:c>
      <x:c r="G56" s="68" t="str">
        <x:v>1. Open the chatbot.
2. Locate the input field.
3. Enter a message.
4. Use the Send control.</x:v>
      </x:c>
      <x:c r="H56" s="68" t="str">
        <x:v>Hello</x:v>
      </x:c>
      <x:c r="I56" s="68" t="str">
        <x:v>The input field is visible, accepts text, and the Send control submits the message.</x:v>
      </x:c>
      <x:c r="J56" s="68" t="str"/>
      <x:c r="K56" s="68" t="str">
        <x:v>Not Executed</x:v>
      </x:c>
      <x:c r="L56" s="68" t="str">
        <x:v>N/A</x:v>
      </x:c>
      <x:c r="M56" s="68" t="str">
        <x:v>Medium</x:v>
      </x:c>
      <x:c r="N56" s="68" t="str">
        <x:v>QA - Chrome - Windows</x:v>
      </x:c>
      <x:c r="O56" s="68" t="str"/>
      <x:c r="P56" s="69" t="str"/>
    </x:row>
    <x:row r="57" ht="72" customHeight="1">
      <x:c r="A57" s="67" t="str">
        <x:v>TC-053</x:v>
      </x:c>
      <x:c r="B57" s="68" t="str">
        <x:v>TS-029</x:v>
      </x:c>
      <x:c r="C57" s="68" t="str">
        <x:v>NFR-003</x:v>
      </x:c>
      <x:c r="D57" s="68" t="str">
        <x:v>Usability</x:v>
      </x:c>
      <x:c r="E57" s="68" t="str">
        <x:v>Verify user and chatbot messages are distinguishable</x:v>
      </x:c>
      <x:c r="F57" s="68" t="str">
        <x:v>Chat interface is available.</x:v>
      </x:c>
      <x:c r="G57" s="68" t="str">
        <x:v>1. Send at least two messages.
2. Observe user and chatbot messages.
3. Check readability.</x:v>
      </x:c>
      <x:c r="H57" s="68" t="str">
        <x:v>Hello</x:v>
      </x:c>
      <x:c r="I57" s="68" t="str">
        <x:v>User and chatbot messages are visually distinguishable and readable.</x:v>
      </x:c>
      <x:c r="J57" s="68" t="str"/>
      <x:c r="K57" s="68" t="str">
        <x:v>Not Executed</x:v>
      </x:c>
      <x:c r="L57" s="68" t="str">
        <x:v>N/A</x:v>
      </x:c>
      <x:c r="M57" s="68" t="str">
        <x:v>Medium</x:v>
      </x:c>
      <x:c r="N57" s="68" t="str">
        <x:v>QA - Chrome - Windows</x:v>
      </x:c>
      <x:c r="O57" s="68" t="str"/>
      <x:c r="P57" s="69" t="str"/>
    </x:row>
    <x:row r="58" ht="72" customHeight="1">
      <x:c r="A58" s="67" t="str">
        <x:v>TC-054</x:v>
      </x:c>
      <x:c r="B58" s="68" t="str">
        <x:v>TS-029</x:v>
      </x:c>
      <x:c r="C58" s="68" t="str">
        <x:v>NFR-004</x:v>
      </x:c>
      <x:c r="D58" s="68" t="str">
        <x:v>Usability</x:v>
      </x:c>
      <x:c r="E58" s="68" t="str">
        <x:v>Verify user-friendly error handling</x:v>
      </x:c>
      <x:c r="F58" s="68" t="str">
        <x:v>Chatbot is available.</x:v>
      </x:c>
      <x:c r="G58" s="68" t="str">
        <x:v>1. Trigger an invalid input response.
2. Review the displayed message.</x:v>
      </x:c>
      <x:c r="H58" s="68" t="str">
        <x:v>@#$%^</x:v>
      </x:c>
      <x:c r="I58" s="68" t="str">
        <x:v>The chatbot shows a clear user-friendly message without stack traces or technical details.</x:v>
      </x:c>
      <x:c r="J58" s="68" t="str"/>
      <x:c r="K58" s="68" t="str">
        <x:v>Not Executed</x:v>
      </x:c>
      <x:c r="L58" s="68" t="str">
        <x:v>N/A</x:v>
      </x:c>
      <x:c r="M58" s="68" t="str">
        <x:v>High</x:v>
      </x:c>
      <x:c r="N58" s="68" t="str">
        <x:v>QA - Chrome - Windows</x:v>
      </x:c>
      <x:c r="O58" s="68" t="str"/>
      <x:c r="P58" s="69" t="str"/>
    </x:row>
    <x:row r="59" ht="72" customHeight="1">
      <x:c r="A59" s="67" t="str">
        <x:v>TC-055</x:v>
      </x:c>
      <x:c r="B59" s="68" t="str">
        <x:v>TS-030</x:v>
      </x:c>
      <x:c r="C59" s="68" t="str">
        <x:v>NFR-005, NFR-006</x:v>
      </x:c>
      <x:c r="D59" s="68" t="str">
        <x:v>Compatibility</x:v>
      </x:c>
      <x:c r="E59" s="68" t="str">
        <x:v>Verify core flow in Microsoft Edge</x:v>
      </x:c>
      <x:c r="F59" s="68" t="str">
        <x:v>Microsoft Edge is installed.</x:v>
      </x:c>
      <x:c r="G59" s="68" t="str">
        <x:v>1. Open the chatbot in Edge.
2. Run greeting, opening-hours, and password-reset tests.
3. Record browser-specific issues.</x:v>
      </x:c>
      <x:c r="H59" s="68" t="str">
        <x:v>Hello; What are your opening hours?; I forgot my password.</x:v>
      </x:c>
      <x:c r="I59" s="68" t="str">
        <x:v>All core flows work correctly without browser-specific errors.</x:v>
      </x:c>
      <x:c r="J59" s="68" t="str"/>
      <x:c r="K59" s="68" t="str">
        <x:v>Not Executed</x:v>
      </x:c>
      <x:c r="L59" s="68" t="str">
        <x:v>N/A</x:v>
      </x:c>
      <x:c r="M59" s="68" t="str">
        <x:v>High</x:v>
      </x:c>
      <x:c r="N59" s="68" t="str">
        <x:v>QA - Edge - Windows</x:v>
      </x:c>
      <x:c r="O59" s="68" t="str"/>
      <x:c r="P59" s="69" t="str"/>
    </x:row>
    <x:row r="60" ht="72" customHeight="1">
      <x:c r="A60" s="70" t="str">
        <x:v>TC-056</x:v>
      </x:c>
      <x:c r="B60" s="71" t="str">
        <x:v>TS-030</x:v>
      </x:c>
      <x:c r="C60" s="71" t="str">
        <x:v>NFR-006</x:v>
      </x:c>
      <x:c r="D60" s="71" t="str">
        <x:v>Reliability</x:v>
      </x:c>
      <x:c r="E60" s="71" t="str">
        <x:v>Verify chatbot stability after repeated mixed inputs</x:v>
      </x:c>
      <x:c r="F60" s="71" t="str">
        <x:v>Chatbot is available.</x:v>
      </x:c>
      <x:c r="G60" s="71" t="str">
        <x:v>1. Send 20 messages containing valid, invalid, and repeated inputs.
2. Observe the chatbot throughout the test.
3. Record any crash, freeze, or conflicting response.</x:v>
      </x:c>
      <x:c r="H60" s="71" t="str">
        <x:v>Mixed input set</x:v>
      </x:c>
      <x:c r="I60" s="71" t="str">
        <x:v>The chatbot remains available, responsive, and consistent.</x:v>
      </x:c>
      <x:c r="J60" s="71" t="str"/>
      <x:c r="K60" s="71" t="str">
        <x:v>Not Executed</x:v>
      </x:c>
      <x:c r="L60" s="71" t="str">
        <x:v>N/A</x:v>
      </x:c>
      <x:c r="M60" s="71" t="str">
        <x:v>High</x:v>
      </x:c>
      <x:c r="N60" s="71" t="str">
        <x:v>QA - Chrome - Windows</x:v>
      </x:c>
      <x:c r="O60" s="71" t="str"/>
      <x:c r="P60" s="72" t="str"/>
    </x:row>
  </x:sheetData>
  <x:mergeCells>
    <x:mergeCell ref="A1:P1"/>
    <x:mergeCell ref="A2:P2"/>
  </x:mergeCells>
  <x:conditionalFormatting sqref="K5:K60">
    <x:cfRule type="expression" dxfId="0" priority="1">
      <x:formula>A1="Pass"</x:formula>
    </x:cfRule>
    <x:cfRule type="expression" dxfId="1" priority="2">
      <x:formula>A1="Fail"</x:formula>
    </x:cfRule>
    <x:cfRule type="expression" dxfId="2" priority="3">
      <x:formula>A1="Blocked"</x:formula>
    </x:cfRule>
    <x:cfRule type="expression" dxfId="3" priority="4">
      <x:formula>A1="In Progress"</x:formula>
    </x:cfRule>
    <x:cfRule type="expression" dxfId="4" priority="5">
      <x:formula>A1="Not Executed"</x:formula>
    </x:cfRule>
  </x:conditionalFormatting>
  <x:conditionalFormatting sqref="M5:M60">
    <x:cfRule type="expression" dxfId="5" priority="6">
      <x:formula>A1="Critical"</x:formula>
    </x:cfRule>
    <x:cfRule type="expression" dxfId="6" priority="7">
      <x:formula>A1="High"</x:formula>
    </x:cfRule>
    <x:cfRule type="expression" dxfId="7" priority="8">
      <x:formula>A1="Medium"</x:formula>
    </x:cfRule>
    <x:cfRule type="expression" dxfId="8" priority="9">
      <x:formula>A1="Low"</x:formula>
    </x:cfRule>
  </x:conditionalFormatting>
  <x:dataValidations count="3">
    <x:dataValidation type="list" sqref="K5:K60">
      <x:formula1>"Not Executed,In Progress,Pass,Fail,Blocked"</x:formula1>
    </x:dataValidation>
    <x:dataValidation type="list" sqref="L5:L60">
      <x:formula1>"N/A,Critical,High,Medium,Low"</x:formula1>
    </x:dataValidation>
    <x:dataValidation type="list" sqref="M5:M6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9d954296034b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18" hidden="0" customWidth="1"/>
    <x:col min="5" max="5" width="14" hidden="0" customWidth="1"/>
    <x:col min="7" max="7" width="20" hidden="0" customWidth="1"/>
    <x:col min="8" max="8" width="14" hidden="0" customWidth="1"/>
  </x:cols>
  <x:sheetData>
    <x:row r="1" ht="32" customHeight="1">
      <x:c r="A1" s="5" t="str">
        <x:v>Manual Test Execution Summary</x:v>
      </x:c>
      <x:c r="B1" s="5"/>
      <x:c r="C1" s="5"/>
      <x:c r="D1" s="5"/>
      <x:c r="E1" s="5"/>
      <x:c r="F1" s="5"/>
      <x:c r="G1" s="5"/>
      <x:c r="H1" s="5"/>
    </x:row>
    <x:row r="3" ht="34" customHeight="1">
      <x:c r="A3" s="29" t="str">
        <x:v>Execution Metric</x:v>
      </x:c>
      <x:c r="B3" s="31" t="str">
        <x:v>Value</x:v>
      </x:c>
      <x:c r="D3" s="29" t="str">
        <x:v>Priority</x:v>
      </x:c>
      <x:c r="E3" s="31" t="str">
        <x:v>Count</x:v>
      </x:c>
      <x:c r="G3" s="29" t="str">
        <x:v>Failed Severity</x:v>
      </x:c>
      <x:c r="H3" s="31" t="str">
        <x:v>Count</x:v>
      </x:c>
    </x:row>
    <x:row r="4">
      <x:c r="A4" s="64" t="str">
        <x:v>Total Test Cases</x:v>
      </x:c>
      <x:c r="B4" s="66" t="n">
        <x:f>COUNTA('Manual Test Cases'!A5:A300)</x:f>
        <x:v>56</x:v>
      </x:c>
      <x:c r="D4" s="64" t="str">
        <x:v>Critical</x:v>
      </x:c>
      <x:c r="E4" s="66" t="n">
        <x:f>COUNTIF('Manual Test Cases'!M5:M300,"Critical")</x:f>
        <x:v>10</x:v>
      </x:c>
      <x:c r="G4" s="64" t="str">
        <x:v>Critical</x:v>
      </x:c>
      <x:c r="H4" s="66" t="n">
        <x:f>COUNTIFS('Manual Test Cases'!K5:K300,"Fail",'Manual Test Cases'!L5:L300,"Critical")</x:f>
        <x:v>0</x:v>
      </x:c>
    </x:row>
    <x:row r="5">
      <x:c r="A5" s="67" t="str">
        <x:v>Not Executed</x:v>
      </x:c>
      <x:c r="B5" s="69" t="n">
        <x:f>COUNTIF('Manual Test Cases'!K5:K300,"Not Executed")</x:f>
        <x:v>56</x:v>
      </x:c>
      <x:c r="D5" s="67" t="str">
        <x:v>High</x:v>
      </x:c>
      <x:c r="E5" s="69" t="n">
        <x:f>COUNTIF('Manual Test Cases'!M5:M300,"High")</x:f>
        <x:v>24</x:v>
      </x:c>
      <x:c r="G5" s="67" t="str">
        <x:v>High</x:v>
      </x:c>
      <x:c r="H5" s="69" t="n">
        <x:f>COUNTIFS('Manual Test Cases'!K5:K300,"Fail",'Manual Test Cases'!L5:L300,"High")</x:f>
        <x:v>0</x:v>
      </x:c>
    </x:row>
    <x:row r="6">
      <x:c r="A6" s="67" t="str">
        <x:v>In Progress</x:v>
      </x:c>
      <x:c r="B6" s="69" t="n">
        <x:f>COUNTIF('Manual Test Cases'!K5:K300,"In Progress")</x:f>
        <x:v>0</x:v>
      </x:c>
      <x:c r="D6" s="67" t="str">
        <x:v>Medium</x:v>
      </x:c>
      <x:c r="E6" s="69" t="n">
        <x:f>COUNTIF('Manual Test Cases'!M5:M300,"Medium")</x:f>
        <x:v>18</x:v>
      </x:c>
      <x:c r="G6" s="67" t="str">
        <x:v>Medium</x:v>
      </x:c>
      <x:c r="H6" s="69" t="n">
        <x:f>COUNTIFS('Manual Test Cases'!K5:K300,"Fail",'Manual Test Cases'!L5:L300,"Medium")</x:f>
        <x:v>0</x:v>
      </x:c>
    </x:row>
    <x:row r="7">
      <x:c r="A7" s="67" t="str">
        <x:v>Passed</x:v>
      </x:c>
      <x:c r="B7" s="69" t="n">
        <x:f>COUNTIF('Manual Test Cases'!K5:K300,"Pass")</x:f>
        <x:v>0</x:v>
      </x:c>
      <x:c r="D7" s="67" t="str">
        <x:v>Low</x:v>
      </x:c>
      <x:c r="E7" s="69" t="n">
        <x:f>COUNTIF('Manual Test Cases'!M5:M300,"Low")</x:f>
        <x:v>4</x:v>
      </x:c>
      <x:c r="G7" s="67" t="str">
        <x:v>Low</x:v>
      </x:c>
      <x:c r="H7" s="69" t="n">
        <x:f>COUNTIFS('Manual Test Cases'!K5:K300,"Fail",'Manual Test Cases'!L5:L300,"Low")</x:f>
        <x:v>0</x:v>
      </x:c>
    </x:row>
    <x:row r="8">
      <x:c r="A8" s="67" t="str">
        <x:v>Failed</x:v>
      </x:c>
      <x:c r="B8" s="69" t="n">
        <x:f>COUNTIF('Manual Test Cases'!K5:K300,"Fail")</x:f>
        <x:v>0</x:v>
      </x:c>
      <x:c r="D8" s="70" t="str">
        <x:v>Total</x:v>
      </x:c>
      <x:c r="E8" s="72" t="n">
        <x:f>SUM(E4:E7)</x:f>
        <x:v>56</x:v>
      </x:c>
      <x:c r="G8" s="70" t="str">
        <x:v>Total Failed</x:v>
      </x:c>
      <x:c r="H8" s="72" t="n">
        <x:f>COUNTIF('Manual Test Cases'!K5:K300,"Fail")</x:f>
        <x:v>0</x:v>
      </x:c>
    </x:row>
    <x:row r="9">
      <x:c r="A9" s="67" t="str">
        <x:v>Blocked</x:v>
      </x:c>
      <x:c r="B9" s="69" t="n">
        <x:f>COUNTIF('Manual Test Cases'!K5:K300,"Blocked")</x:f>
        <x:v>0</x:v>
      </x:c>
    </x:row>
    <x:row r="10">
      <x:c r="A10" s="70" t="str">
        <x:v>Pass Percentage</x:v>
      </x:c>
      <x:c r="B10" s="100" t="n">
        <x:f>IF((B7+B8)=0,0,B7/(B7+B8))</x:f>
        <x:v>0</x:v>
      </x:c>
    </x:row>
    <x:row r="12">
      <x:c r="A12" s="105" t="str">
        <x:v>Execution rule: Set Severity if Failed only when Status is Fail. Add a defect ID and screenshot path for every confirmed failure.</x:v>
      </x:c>
      <x:c r="B12" s="105"/>
      <x:c r="C12" s="105"/>
      <x:c r="D12" s="105"/>
      <x:c r="E12" s="105"/>
      <x:c r="F12" s="105"/>
      <x:c r="G12" s="105"/>
      <x:c r="H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</x:row>
  </x:sheetData>
  <x:mergeCells>
    <x:mergeCell ref="A1:H1"/>
    <x:mergeCell ref="A12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2" hidden="0" customWidth="1"/>
    <x:col min="4" max="4" width="38" hidden="0" customWidth="1"/>
  </x:cols>
  <x:sheetData>
    <x:row r="1" ht="32" customHeight="1">
      <x:c r="A1" s="5" t="str">
        <x:v>Approved Chatbot Test Data</x:v>
      </x:c>
      <x:c r="B1" s="5"/>
      <x:c r="C1" s="5"/>
      <x:c r="D1" s="5"/>
    </x:row>
    <x:row r="3" ht="34" customHeight="1">
      <x:c r="A3" s="29" t="str">
        <x:v>Data ID</x:v>
      </x:c>
      <x:c r="B3" s="30" t="str">
        <x:v>Category</x:v>
      </x:c>
      <x:c r="C3" s="30" t="str">
        <x:v>Approved Value</x:v>
      </x:c>
      <x:c r="D3" s="31" t="str">
        <x:v>Testing Note</x:v>
      </x:c>
    </x:row>
    <x:row r="4" ht="38" customHeight="1">
      <x:c r="A4" s="64" t="str">
        <x:v>DATA-001</x:v>
      </x:c>
      <x:c r="B4" s="65" t="str">
        <x:v>Business Hours</x:v>
      </x:c>
      <x:c r="C4" s="65" t="str">
        <x:v>Monday to Friday: 9:00 AM to 5:00 PM</x:v>
      </x:c>
      <x:c r="D4" s="66" t="str">
        <x:v>Use for weekday questions.</x:v>
      </x:c>
    </x:row>
    <x:row r="5" ht="38" customHeight="1">
      <x:c r="A5" s="67" t="str">
        <x:v>DATA-002</x:v>
      </x:c>
      <x:c r="B5" s="68" t="str">
        <x:v>Business Hours</x:v>
      </x:c>
      <x:c r="C5" s="68" t="str">
        <x:v>Saturday: 9:00 AM to 1:00 PM</x:v>
      </x:c>
      <x:c r="D5" s="69" t="str">
        <x:v>Use for Saturday questions.</x:v>
      </x:c>
    </x:row>
    <x:row r="6" ht="38" customHeight="1">
      <x:c r="A6" s="67" t="str">
        <x:v>DATA-003</x:v>
      </x:c>
      <x:c r="B6" s="68" t="str">
        <x:v>Business Hours</x:v>
      </x:c>
      <x:c r="C6" s="68" t="str">
        <x:v>Sunday: Closed</x:v>
      </x:c>
      <x:c r="D6" s="69" t="str">
        <x:v>Use for Sunday questions.</x:v>
      </x:c>
    </x:row>
    <x:row r="7" ht="38" customHeight="1">
      <x:c r="A7" s="67" t="str">
        <x:v>DATA-004</x:v>
      </x:c>
      <x:c r="B7" s="68" t="str">
        <x:v>Support Email</x:v>
      </x:c>
      <x:c r="C7" s="68" t="str">
        <x:v>support@example.com</x:v>
      </x:c>
      <x:c r="D7" s="69" t="str">
        <x:v>Sample value for portfolio testing.</x:v>
      </x:c>
    </x:row>
    <x:row r="8" ht="38" customHeight="1">
      <x:c r="A8" s="67" t="str">
        <x:v>DATA-005</x:v>
      </x:c>
      <x:c r="B8" s="68" t="str">
        <x:v>Support Phone</x:v>
      </x:c>
      <x:c r="C8" s="68" t="str">
        <x:v>+94 11 234 5678</x:v>
      </x:c>
      <x:c r="D8" s="69" t="str">
        <x:v>Sample value for portfolio testing.</x:v>
      </x:c>
    </x:row>
    <x:row r="9" ht="38" customHeight="1">
      <x:c r="A9" s="67" t="str">
        <x:v>DATA-006</x:v>
      </x:c>
      <x:c r="B9" s="68" t="str">
        <x:v>Support Hours</x:v>
      </x:c>
      <x:c r="C9" s="68" t="str">
        <x:v>Monday to Friday: 9:00 AM to 5:00 PM</x:v>
      </x:c>
      <x:c r="D9" s="69" t="str">
        <x:v>Use for human-support questions.</x:v>
      </x:c>
    </x:row>
    <x:row r="10" ht="38" customHeight="1">
      <x:c r="A10" s="67" t="str">
        <x:v>DATA-007</x:v>
      </x:c>
      <x:c r="B10" s="68" t="str">
        <x:v>Password Reset</x:v>
      </x:c>
      <x:c r="C10" s="68" t="str">
        <x:v>Select Forgot Password, enter the registered email, and follow the email instructions.</x:v>
      </x:c>
      <x:c r="D10" s="69" t="str">
        <x:v>The chatbot must not request a password.</x:v>
      </x:c>
    </x:row>
    <x:row r="11" ht="38" customHeight="1">
      <x:c r="A11" s="67" t="str">
        <x:v>DATA-008</x:v>
      </x:c>
      <x:c r="B11" s="68" t="str">
        <x:v>Response Time</x:v>
      </x:c>
      <x:c r="C11" s="68" t="str">
        <x:v>3 seconds</x:v>
      </x:c>
      <x:c r="D11" s="69" t="str">
        <x:v>Target for normal supported questions.</x:v>
      </x:c>
    </x:row>
    <x:row r="12" ht="38" customHeight="1">
      <x:c r="A12" s="67" t="str">
        <x:v>DATA-009</x:v>
      </x:c>
      <x:c r="B12" s="68" t="str">
        <x:v>Functional Pass Target</x:v>
      </x:c>
      <x:c r="C12" s="68" t="str">
        <x:v>90%</x:v>
      </x:c>
      <x:c r="D12" s="69" t="str">
        <x:v>Minimum functional pass target.</x:v>
      </x:c>
    </x:row>
    <x:row r="13" ht="38" customHeight="1">
      <x:c r="A13" s="70" t="str">
        <x:v>DATA-010</x:v>
      </x:c>
      <x:c r="B13" s="71" t="str">
        <x:v>Performance Target</x:v>
      </x:c>
      <x:c r="C13" s="71" t="str">
        <x:v>95% within 3 seconds</x:v>
      </x:c>
      <x:c r="D13" s="72" t="str">
        <x:v>Response-time acceptance target.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8f930a21b084fe6"/>
  </x:tableParts>
</x:worksheet>
</file>